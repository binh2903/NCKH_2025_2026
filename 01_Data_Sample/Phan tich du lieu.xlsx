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CKH_2025_2026\DATA\"/>
    </mc:Choice>
  </mc:AlternateContent>
  <xr:revisionPtr revIDLastSave="0" documentId="13_ncr:1_{EC2D99B0-237F-482D-9B25-ADEDBE8B2865}" xr6:coauthVersionLast="47" xr6:coauthVersionMax="47" xr10:uidLastSave="{00000000-0000-0000-0000-000000000000}"/>
  <bookViews>
    <workbookView xWindow="-120" yWindow="-120" windowWidth="29040" windowHeight="15840" firstSheet="3" activeTab="4" xr2:uid="{57729231-8D39-4E30-8B8C-A0669D4AE555}"/>
  </bookViews>
  <sheets>
    <sheet name="Phân tích IN_1 &amp; IN_2 (2)" sheetId="16" r:id="rId1"/>
    <sheet name="IN_2 Analysis (3)" sheetId="9" r:id="rId2"/>
    <sheet name="IN_2 Analysis (2)" sheetId="5" r:id="rId3"/>
    <sheet name="1000" sheetId="17" r:id="rId4"/>
    <sheet name="Phân tích IN_1 &amp; IN_2" sheetId="10" r:id="rId5"/>
    <sheet name="mau do toc 300" sheetId="15" r:id="rId6"/>
    <sheet name="mau do toc 200" sheetId="14" r:id="rId7"/>
    <sheet name="mau do toc 100" sheetId="13" r:id="rId8"/>
  </sheets>
  <definedNames>
    <definedName name="ExternalData_1" localSheetId="3" hidden="1">'1000'!$A$1:$S$2977</definedName>
    <definedName name="ExternalData_1" localSheetId="7" hidden="1">'mau do toc 100'!$A$1:$S$994</definedName>
    <definedName name="ExternalData_1" localSheetId="6" hidden="1">'mau do toc 200'!$A$1:$S$994</definedName>
    <definedName name="ExternalData_2" localSheetId="5" hidden="1">'mau do toc 300'!$A$1:$S$994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9" l="1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I38" i="9"/>
  <c r="E38" i="9"/>
  <c r="I37" i="9"/>
  <c r="E37" i="9"/>
  <c r="I36" i="9"/>
  <c r="E36" i="9"/>
  <c r="I35" i="9"/>
  <c r="E35" i="9"/>
  <c r="I34" i="9"/>
  <c r="E34" i="9"/>
  <c r="I33" i="9"/>
  <c r="E33" i="9"/>
  <c r="I32" i="9"/>
  <c r="E32" i="9"/>
  <c r="I31" i="9"/>
  <c r="E31" i="9"/>
  <c r="I30" i="9"/>
  <c r="E30" i="9"/>
  <c r="I29" i="9"/>
  <c r="E29" i="9"/>
  <c r="I28" i="9"/>
  <c r="E28" i="9"/>
  <c r="I27" i="9"/>
  <c r="E27" i="9"/>
  <c r="I26" i="9"/>
  <c r="E26" i="9"/>
  <c r="I25" i="9"/>
  <c r="E25" i="9"/>
  <c r="I24" i="9"/>
  <c r="E24" i="9"/>
  <c r="I23" i="9"/>
  <c r="E23" i="9"/>
  <c r="I22" i="9"/>
  <c r="E22" i="9"/>
  <c r="I21" i="9"/>
  <c r="E21" i="9"/>
  <c r="I20" i="9"/>
  <c r="E20" i="9"/>
  <c r="I19" i="9"/>
  <c r="E19" i="9"/>
  <c r="I18" i="9"/>
  <c r="E18" i="9"/>
  <c r="I17" i="9"/>
  <c r="E17" i="9"/>
  <c r="I16" i="9"/>
  <c r="E16" i="9"/>
  <c r="I15" i="9"/>
  <c r="E15" i="9"/>
  <c r="I14" i="9"/>
  <c r="E14" i="9"/>
  <c r="I13" i="9"/>
  <c r="E13" i="9"/>
  <c r="I12" i="9"/>
  <c r="E12" i="9"/>
  <c r="I11" i="9"/>
  <c r="E11" i="9"/>
  <c r="I10" i="9"/>
  <c r="E10" i="9"/>
  <c r="I9" i="9"/>
  <c r="E9" i="9"/>
  <c r="I8" i="9"/>
  <c r="E8" i="9"/>
  <c r="I7" i="9"/>
  <c r="E7" i="9"/>
  <c r="I6" i="9"/>
  <c r="E6" i="9"/>
  <c r="H5" i="9" a="1"/>
  <c r="H5" i="9" s="1"/>
  <c r="G5" i="9" a="1"/>
  <c r="G5" i="9" s="1"/>
  <c r="F5" i="9" a="1"/>
  <c r="F5" i="9" s="1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52" i="5"/>
  <c r="E51" i="5"/>
  <c r="I38" i="5"/>
  <c r="I37" i="5"/>
  <c r="I36" i="5"/>
  <c r="I35" i="5"/>
  <c r="I34" i="5"/>
  <c r="I33" i="5"/>
  <c r="I32" i="5"/>
  <c r="I31" i="5"/>
  <c r="I30" i="5"/>
  <c r="I29" i="5"/>
  <c r="I28" i="5"/>
  <c r="E28" i="5"/>
  <c r="I27" i="5"/>
  <c r="E27" i="5"/>
  <c r="I26" i="5"/>
  <c r="E26" i="5"/>
  <c r="I25" i="5"/>
  <c r="E25" i="5"/>
  <c r="I24" i="5"/>
  <c r="E24" i="5"/>
  <c r="I23" i="5"/>
  <c r="E23" i="5"/>
  <c r="I22" i="5"/>
  <c r="E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I12" i="5"/>
  <c r="E12" i="5"/>
  <c r="I11" i="5"/>
  <c r="E11" i="5"/>
  <c r="I10" i="5"/>
  <c r="E10" i="5"/>
  <c r="I9" i="5"/>
  <c r="E9" i="5"/>
  <c r="I8" i="5"/>
  <c r="E8" i="5"/>
  <c r="I7" i="5"/>
  <c r="E7" i="5"/>
  <c r="I6" i="5"/>
  <c r="E6" i="5"/>
  <c r="H5" i="5" a="1"/>
  <c r="H5" i="5" s="1"/>
  <c r="G5" i="5" a="1"/>
  <c r="G5" i="5" s="1"/>
  <c r="F5" i="5" a="1"/>
  <c r="F5" i="5" s="1"/>
  <c r="H58" i="16" a="1"/>
  <c r="B49" i="16" a="1"/>
  <c r="B67" i="16" a="1"/>
  <c r="H41" i="16" a="1"/>
  <c r="H60" i="16" a="1"/>
  <c r="H62" i="16" a="1"/>
  <c r="B5" i="10"/>
  <c r="H59" i="16" a="1"/>
  <c r="B7" i="9"/>
  <c r="B65" i="16" a="1"/>
  <c r="B52" i="16" a="1"/>
  <c r="B63" i="16" a="1"/>
  <c r="H6" i="16" a="1"/>
  <c r="H55" i="16" a="1"/>
  <c r="Q13" i="10"/>
  <c r="H46" i="16" a="1"/>
  <c r="H9" i="16" a="1"/>
  <c r="B64" i="16" a="1"/>
  <c r="B70" i="16" a="1"/>
  <c r="B66" i="16" a="1"/>
  <c r="B53" i="16" a="1"/>
  <c r="B13" i="9" a="1"/>
  <c r="B6" i="5"/>
  <c r="B68" i="16" a="1"/>
  <c r="B9" i="16" a="1"/>
  <c r="H45" i="16" a="1"/>
  <c r="B62" i="16" a="1"/>
  <c r="B6" i="16" a="1"/>
  <c r="H74" i="16" a="1"/>
  <c r="B5" i="9"/>
  <c r="H50" i="16" a="1"/>
  <c r="H69" i="16" a="1"/>
  <c r="B59" i="16" a="1"/>
  <c r="B54" i="16" a="1"/>
  <c r="Q13" i="16"/>
  <c r="H51" i="16" a="1"/>
  <c r="B44" i="16" a="1"/>
  <c r="H48" i="16" a="1"/>
  <c r="B47" i="16" a="1"/>
  <c r="B61" i="16" a="1"/>
  <c r="B13" i="5" a="1"/>
  <c r="H72" i="16" a="1"/>
  <c r="B55" i="16" a="1"/>
  <c r="H52" i="16" a="1"/>
  <c r="H44" i="16" a="1"/>
  <c r="B57" i="16" a="1"/>
  <c r="B48" i="16" a="1"/>
  <c r="B5" i="5"/>
  <c r="B39" i="16" a="1"/>
  <c r="B45" i="16" a="1"/>
  <c r="B56" i="16" a="1"/>
  <c r="B74" i="16" a="1"/>
  <c r="B42" i="16" a="1"/>
  <c r="H10" i="10" a="1"/>
  <c r="H37" i="16" a="1"/>
  <c r="B46" i="16" a="1"/>
  <c r="H47" i="16" a="1"/>
  <c r="B9" i="10" a="1"/>
  <c r="H57" i="16" a="1"/>
  <c r="H61" i="16" a="1"/>
  <c r="B51" i="16" a="1"/>
  <c r="B38" i="16" a="1"/>
  <c r="B37" i="16" a="1"/>
  <c r="H9" i="10" a="1"/>
  <c r="H5" i="16"/>
  <c r="H65" i="16" a="1"/>
  <c r="B5" i="16"/>
  <c r="H73" i="16" a="1"/>
  <c r="H66" i="16" a="1"/>
  <c r="H38" i="16" a="1"/>
  <c r="B75" i="16" a="1"/>
  <c r="H40" i="16" a="1"/>
  <c r="H67" i="16" a="1"/>
  <c r="H71" i="16" a="1"/>
  <c r="H64" i="16" a="1"/>
  <c r="B43" i="16" a="1"/>
  <c r="H68" i="16" a="1"/>
  <c r="H70" i="16" a="1"/>
  <c r="B10" i="10" a="1"/>
  <c r="H49" i="16" a="1"/>
  <c r="B71" i="16" a="1"/>
  <c r="H10" i="16" a="1"/>
  <c r="B58" i="16" a="1"/>
  <c r="B7" i="5"/>
  <c r="B73" i="16" a="1"/>
  <c r="H39" i="16" a="1"/>
  <c r="H5" i="10"/>
  <c r="H54" i="16" a="1"/>
  <c r="H42" i="16" a="1"/>
  <c r="B72" i="16" a="1"/>
  <c r="H76" i="16" a="1"/>
  <c r="H63" i="16" a="1"/>
  <c r="H75" i="16" a="1"/>
  <c r="B60" i="16" a="1"/>
  <c r="H6" i="10" a="1"/>
  <c r="B76" i="16" a="1"/>
  <c r="H43" i="16" a="1"/>
  <c r="H53" i="16" a="1"/>
  <c r="B69" i="16" a="1"/>
  <c r="B40" i="16" a="1"/>
  <c r="B41" i="16" a="1"/>
  <c r="B6" i="10" a="1"/>
  <c r="H7" i="16" a="1"/>
  <c r="H56" i="16" a="1"/>
  <c r="B10" i="16" a="1"/>
  <c r="B50" i="16" a="1"/>
  <c r="B7" i="16" a="1"/>
  <c r="B6" i="9"/>
  <c r="H74" i="16" l="1"/>
  <c r="B53" i="16"/>
  <c r="B60" i="16"/>
  <c r="B7" i="16"/>
  <c r="H62" i="16"/>
  <c r="B41" i="16"/>
  <c r="H75" i="16"/>
  <c r="H39" i="16"/>
  <c r="H70" i="16"/>
  <c r="H44" i="16"/>
  <c r="B37" i="16"/>
  <c r="H47" i="16"/>
  <c r="B42" i="16"/>
  <c r="H52" i="16"/>
  <c r="B61" i="16"/>
  <c r="B6" i="16"/>
  <c r="V3" i="16" s="1"/>
  <c r="B66" i="16"/>
  <c r="H55" i="16"/>
  <c r="B50" i="16"/>
  <c r="H60" i="16"/>
  <c r="B40" i="16"/>
  <c r="H63" i="16"/>
  <c r="B58" i="16"/>
  <c r="H68" i="16"/>
  <c r="B38" i="16"/>
  <c r="B46" i="16"/>
  <c r="B74" i="16"/>
  <c r="B48" i="16"/>
  <c r="B47" i="16"/>
  <c r="B54" i="16"/>
  <c r="B62" i="16"/>
  <c r="B70" i="16"/>
  <c r="H6" i="16"/>
  <c r="B10" i="16"/>
  <c r="H41" i="16"/>
  <c r="B69" i="16"/>
  <c r="H76" i="16"/>
  <c r="H10" i="16"/>
  <c r="B43" i="16"/>
  <c r="H40" i="16"/>
  <c r="B51" i="16"/>
  <c r="H37" i="16"/>
  <c r="B56" i="16"/>
  <c r="B55" i="16"/>
  <c r="H48" i="16"/>
  <c r="B59" i="16"/>
  <c r="H45" i="16"/>
  <c r="B64" i="16"/>
  <c r="B63" i="16"/>
  <c r="H56" i="16"/>
  <c r="B67" i="16"/>
  <c r="H53" i="16"/>
  <c r="B72" i="16"/>
  <c r="B71" i="16"/>
  <c r="H64" i="16"/>
  <c r="B75" i="16"/>
  <c r="H61" i="16"/>
  <c r="B45" i="16"/>
  <c r="H72" i="16"/>
  <c r="B44" i="16"/>
  <c r="H69" i="16"/>
  <c r="B9" i="16"/>
  <c r="H9" i="16"/>
  <c r="B52" i="16"/>
  <c r="H7" i="16"/>
  <c r="B49" i="16"/>
  <c r="H43" i="16"/>
  <c r="H42" i="16"/>
  <c r="H49" i="16"/>
  <c r="H71" i="16"/>
  <c r="H38" i="16"/>
  <c r="H57" i="16"/>
  <c r="H65" i="16"/>
  <c r="B39" i="16"/>
  <c r="B57" i="16"/>
  <c r="H51" i="16"/>
  <c r="H50" i="16"/>
  <c r="B68" i="16"/>
  <c r="H46" i="16"/>
  <c r="B65" i="16"/>
  <c r="H59" i="16"/>
  <c r="H58" i="16"/>
  <c r="B76" i="16"/>
  <c r="H54" i="16"/>
  <c r="B73" i="16"/>
  <c r="H67" i="16"/>
  <c r="H66" i="16"/>
  <c r="H73" i="16"/>
  <c r="H10" i="10"/>
  <c r="H9" i="10"/>
  <c r="H6" i="10"/>
  <c r="B10" i="10"/>
  <c r="B9" i="10"/>
  <c r="B6" i="10"/>
  <c r="B8" i="9"/>
  <c r="B30" i="9" s="1"/>
  <c r="L12" i="9"/>
  <c r="B13" i="9"/>
  <c r="E5" i="9"/>
  <c r="I5" i="9"/>
  <c r="L12" i="5"/>
  <c r="B8" i="5"/>
  <c r="B30" i="5" s="1"/>
  <c r="B13" i="5"/>
  <c r="L10" i="5" s="1"/>
  <c r="L13" i="5" s="1"/>
  <c r="I5" i="5"/>
  <c r="E5" i="5"/>
  <c r="H60" i="10" a="1"/>
  <c r="B140" i="10" a="1"/>
  <c r="H133" i="10" a="1"/>
  <c r="B75" i="10" a="1"/>
  <c r="H71" i="10" a="1"/>
  <c r="H45" i="10" a="1"/>
  <c r="H201" i="10" a="1"/>
  <c r="B103" i="10" a="1"/>
  <c r="H153" i="10" a="1"/>
  <c r="H147" i="10" a="1"/>
  <c r="B47" i="10" a="1"/>
  <c r="H149" i="10" a="1"/>
  <c r="H53" i="10" a="1"/>
  <c r="H48" i="10" a="1"/>
  <c r="H185" i="10" a="1"/>
  <c r="B45" i="10" a="1"/>
  <c r="H72" i="10" a="1"/>
  <c r="B96" i="10" a="1"/>
  <c r="B203" i="10" a="1"/>
  <c r="B10" i="5" a="1"/>
  <c r="B162" i="10" a="1"/>
  <c r="H91" i="10" a="1"/>
  <c r="H170" i="10" a="1"/>
  <c r="B194" i="10" a="1"/>
  <c r="H135" i="10" a="1"/>
  <c r="B46" i="10" a="1"/>
  <c r="H46" i="10" a="1"/>
  <c r="B175" i="10" a="1"/>
  <c r="H166" i="10" a="1"/>
  <c r="H174" i="10" a="1"/>
  <c r="H123" i="10" a="1"/>
  <c r="B191" i="10" a="1"/>
  <c r="H109" i="10" a="1"/>
  <c r="H154" i="10" a="1"/>
  <c r="B9" i="9" a="1"/>
  <c r="H186" i="10" a="1"/>
  <c r="H44" i="10" a="1"/>
  <c r="B132" i="10" a="1"/>
  <c r="B50" i="10" a="1"/>
  <c r="B109" i="10" a="1"/>
  <c r="B91" i="10" a="1"/>
  <c r="H102" i="10" a="1"/>
  <c r="B55" i="10" a="1"/>
  <c r="B183" i="10" a="1"/>
  <c r="H99" i="10" a="1"/>
  <c r="B121" i="10" a="1"/>
  <c r="H197" i="10" a="1"/>
  <c r="H70" i="10" a="1"/>
  <c r="H187" i="10" a="1"/>
  <c r="H83" i="10" a="1"/>
  <c r="H47" i="10" a="1"/>
  <c r="H202" i="10" a="1"/>
  <c r="B134" i="10" a="1"/>
  <c r="H178" i="10" a="1"/>
  <c r="H59" i="10" a="1"/>
  <c r="H43" i="10" a="1"/>
  <c r="B153" i="10" a="1"/>
  <c r="H50" i="10" a="1"/>
  <c r="B78" i="10" a="1"/>
  <c r="B57" i="10" a="1"/>
  <c r="B66" i="10" a="1"/>
  <c r="H49" i="10" a="1"/>
  <c r="B187" i="10" a="1"/>
  <c r="H126" i="10" a="1"/>
  <c r="H148" i="10" a="1"/>
  <c r="B139" i="10" a="1"/>
  <c r="H80" i="10" a="1"/>
  <c r="H167" i="10" a="1"/>
  <c r="H159" i="10" a="1"/>
  <c r="B118" i="10" a="1"/>
  <c r="B188" i="10" a="1"/>
  <c r="H92" i="10" a="1"/>
  <c r="B116" i="10" a="1"/>
  <c r="H73" i="10" a="1"/>
  <c r="B44" i="10" a="1"/>
  <c r="H62" i="10" a="1"/>
  <c r="B80" i="10" a="1"/>
  <c r="B90" i="10" a="1"/>
  <c r="Q15" i="16" a="1"/>
  <c r="H160" i="10" a="1"/>
  <c r="B164" i="10" a="1"/>
  <c r="H156" i="10" a="1"/>
  <c r="B152" i="10" a="1"/>
  <c r="H158" i="10" a="1"/>
  <c r="B58" i="10" a="1"/>
  <c r="B122" i="10" a="1"/>
  <c r="B59" i="10" a="1"/>
  <c r="H181" i="10" a="1"/>
  <c r="H127" i="10" a="1"/>
  <c r="B176" i="10" a="1"/>
  <c r="B89" i="10" a="1"/>
  <c r="H78" i="10" a="1"/>
  <c r="B130" i="10" a="1"/>
  <c r="H146" i="10" a="1"/>
  <c r="B161" i="10" a="1"/>
  <c r="B81" i="10" a="1"/>
  <c r="B49" i="10" a="1"/>
  <c r="B151" i="10" a="1"/>
  <c r="B145" i="10" a="1"/>
  <c r="B111" i="10" a="1"/>
  <c r="B74" i="10" a="1"/>
  <c r="H179" i="10" a="1"/>
  <c r="B93" i="10" a="1"/>
  <c r="B186" i="10" a="1"/>
  <c r="H114" i="10" a="1"/>
  <c r="B69" i="10" a="1"/>
  <c r="H188" i="10" a="1"/>
  <c r="B144" i="10" a="1"/>
  <c r="H205" i="10" a="1"/>
  <c r="B135" i="10" a="1"/>
  <c r="B138" i="10" a="1"/>
  <c r="H157" i="10" a="1"/>
  <c r="B68" i="10" a="1"/>
  <c r="B117" i="10" a="1"/>
  <c r="B56" i="10" a="1"/>
  <c r="H175" i="10" a="1"/>
  <c r="H162" i="10" a="1"/>
  <c r="B87" i="10" a="1"/>
  <c r="H116" i="10" a="1"/>
  <c r="B123" i="10" a="1"/>
  <c r="B157" i="10" a="1"/>
  <c r="B180" i="10" a="1"/>
  <c r="Q15" i="10" a="1"/>
  <c r="H54" i="10" a="1"/>
  <c r="B100" i="10" a="1"/>
  <c r="B83" i="10" a="1"/>
  <c r="B185" i="10" a="1"/>
  <c r="H151" i="10" a="1"/>
  <c r="B53" i="10" a="1"/>
  <c r="B41" i="10" a="1"/>
  <c r="B38" i="10" a="1"/>
  <c r="H165" i="10" a="1"/>
  <c r="B95" i="10" a="1"/>
  <c r="H85" i="10" a="1"/>
  <c r="B193" i="10" a="1"/>
  <c r="B155" i="10" a="1"/>
  <c r="H161" i="10" a="1"/>
  <c r="B39" i="10" a="1"/>
  <c r="H163" i="10" a="1"/>
  <c r="B200" i="10" a="1"/>
  <c r="B51" i="10" a="1"/>
  <c r="H65" i="10" a="1"/>
  <c r="B184" i="10" a="1"/>
  <c r="H41" i="10" a="1"/>
  <c r="B97" i="10" a="1"/>
  <c r="B129" i="10" a="1"/>
  <c r="B171" i="10" a="1"/>
  <c r="B60" i="10" a="1"/>
  <c r="B48" i="10" a="1"/>
  <c r="B72" i="10" a="1"/>
  <c r="B168" i="10" a="1"/>
  <c r="H184" i="10" a="1"/>
  <c r="H122" i="10" a="1"/>
  <c r="H142" i="10" a="1"/>
  <c r="H176" i="10" a="1"/>
  <c r="B195" i="10" a="1"/>
  <c r="H193" i="10" a="1"/>
  <c r="B98" i="10" a="1"/>
  <c r="H61" i="10" a="1"/>
  <c r="H76" i="10" a="1"/>
  <c r="H81" i="10" a="1"/>
  <c r="H180" i="10" a="1"/>
  <c r="H119" i="10" a="1"/>
  <c r="H89" i="10" a="1"/>
  <c r="B199" i="10" a="1"/>
  <c r="H191" i="10" a="1"/>
  <c r="B64" i="10" a="1"/>
  <c r="B125" i="10" a="1"/>
  <c r="H104" i="10" a="1"/>
  <c r="B174" i="10" a="1"/>
  <c r="H37" i="10" a="1"/>
  <c r="B71" i="10" a="1"/>
  <c r="B190" i="10" a="1"/>
  <c r="B62" i="10" a="1"/>
  <c r="B143" i="10" a="1"/>
  <c r="H136" i="10" a="1"/>
  <c r="H145" i="10" a="1"/>
  <c r="B99" i="10" a="1"/>
  <c r="B182" i="10" a="1"/>
  <c r="H152" i="10" a="1"/>
  <c r="B192" i="10" a="1"/>
  <c r="H189" i="10" a="1"/>
  <c r="B54" i="10" a="1"/>
  <c r="H120" i="10" a="1"/>
  <c r="B9" i="5" a="1"/>
  <c r="H88" i="10" a="1"/>
  <c r="B198" i="10" a="1"/>
  <c r="B115" i="10" a="1"/>
  <c r="H199" i="10" a="1"/>
  <c r="B170" i="10" a="1"/>
  <c r="H51" i="10" a="1"/>
  <c r="H66" i="10" a="1"/>
  <c r="H144" i="10" a="1"/>
  <c r="H173" i="10" a="1"/>
  <c r="B107" i="10" a="1"/>
  <c r="H69" i="10" a="1"/>
  <c r="H168" i="10" a="1"/>
  <c r="B126" i="10" a="1"/>
  <c r="H108" i="10" a="1"/>
  <c r="B178" i="10" a="1"/>
  <c r="B177" i="10" a="1"/>
  <c r="H128" i="10" a="1"/>
  <c r="H190" i="10" a="1"/>
  <c r="H103" i="10" a="1"/>
  <c r="B40" i="10" a="1"/>
  <c r="H192" i="10" a="1"/>
  <c r="B102" i="10" a="1"/>
  <c r="H112" i="10" a="1"/>
  <c r="B206" i="10" a="1"/>
  <c r="B63" i="10" a="1"/>
  <c r="B61" i="10" a="1"/>
  <c r="H87" i="10" a="1"/>
  <c r="B154" i="10" a="1"/>
  <c r="B189" i="10" a="1"/>
  <c r="H97" i="10" a="1"/>
  <c r="B106" i="10" a="1"/>
  <c r="H93" i="10" a="1"/>
  <c r="B82" i="10" a="1"/>
  <c r="B42" i="10" a="1"/>
  <c r="B163" i="10" a="1"/>
  <c r="H82" i="10" a="1"/>
  <c r="H169" i="10" a="1"/>
  <c r="H58" i="10" a="1"/>
  <c r="H90" i="10" a="1"/>
  <c r="B156" i="10" a="1"/>
  <c r="H75" i="10" a="1"/>
  <c r="H57" i="10" a="1"/>
  <c r="H63" i="10" a="1"/>
  <c r="H39" i="10" a="1"/>
  <c r="H113" i="10" a="1"/>
  <c r="H100" i="10" a="1"/>
  <c r="B159" i="10" a="1"/>
  <c r="H117" i="10" a="1"/>
  <c r="H77" i="10" a="1"/>
  <c r="H177" i="10" a="1"/>
  <c r="B179" i="10" a="1"/>
  <c r="H110" i="10" a="1"/>
  <c r="B52" i="10" a="1"/>
  <c r="B158" i="10" a="1"/>
  <c r="B85" i="10" a="1"/>
  <c r="H52" i="10" a="1"/>
  <c r="B43" i="10" a="1"/>
  <c r="B167" i="10" a="1"/>
  <c r="B120" i="10" a="1"/>
  <c r="B127" i="10" a="1"/>
  <c r="H171" i="10" a="1"/>
  <c r="H183" i="10" a="1"/>
  <c r="B119" i="10" a="1"/>
  <c r="H95" i="10" a="1"/>
  <c r="B113" i="10" a="1"/>
  <c r="H204" i="10" a="1"/>
  <c r="B149" i="10" a="1"/>
  <c r="H131" i="10" a="1"/>
  <c r="B84" i="10" a="1"/>
  <c r="H200" i="10" a="1"/>
  <c r="H134" i="10" a="1"/>
  <c r="B136" i="10" a="1"/>
  <c r="H107" i="10" a="1"/>
  <c r="B166" i="10" a="1"/>
  <c r="B196" i="10" a="1"/>
  <c r="H155" i="10" a="1"/>
  <c r="H203" i="10" a="1"/>
  <c r="B112" i="10" a="1"/>
  <c r="H96" i="10" a="1"/>
  <c r="H143" i="10" a="1"/>
  <c r="H64" i="10" a="1"/>
  <c r="H94" i="10" a="1"/>
  <c r="B70" i="10" a="1"/>
  <c r="H129" i="10" a="1"/>
  <c r="B10" i="9" a="1"/>
  <c r="B76" i="10" a="1"/>
  <c r="H74" i="10" a="1"/>
  <c r="H130" i="10" a="1"/>
  <c r="H121" i="10" a="1"/>
  <c r="B205" i="10" a="1"/>
  <c r="H125" i="10" a="1"/>
  <c r="B146" i="10" a="1"/>
  <c r="B108" i="10" a="1"/>
  <c r="B114" i="10" a="1"/>
  <c r="H84" i="10" a="1"/>
  <c r="H150" i="10" a="1"/>
  <c r="H195" i="10" a="1"/>
  <c r="B65" i="10" a="1"/>
  <c r="H56" i="10" a="1"/>
  <c r="H106" i="10" a="1"/>
  <c r="B148" i="10" a="1"/>
  <c r="H55" i="10" a="1"/>
  <c r="B165" i="10" a="1"/>
  <c r="H42" i="10" a="1"/>
  <c r="B67" i="10" a="1"/>
  <c r="H198" i="10" a="1"/>
  <c r="H111" i="10" a="1"/>
  <c r="H132" i="10" a="1"/>
  <c r="B201" i="10" a="1"/>
  <c r="H118" i="10" a="1"/>
  <c r="B94" i="10" a="1"/>
  <c r="H40" i="10" a="1"/>
  <c r="B133" i="10" a="1"/>
  <c r="H86" i="10" a="1"/>
  <c r="B131" i="10" a="1"/>
  <c r="H138" i="10" a="1"/>
  <c r="B202" i="10" a="1"/>
  <c r="H194" i="10" a="1"/>
  <c r="H105" i="10" a="1"/>
  <c r="B142" i="10" a="1"/>
  <c r="H196" i="10" a="1"/>
  <c r="H139" i="10" a="1"/>
  <c r="B169" i="10" a="1"/>
  <c r="H172" i="10" a="1"/>
  <c r="B105" i="10" a="1"/>
  <c r="H182" i="10" a="1"/>
  <c r="B137" i="10" a="1"/>
  <c r="H164" i="10" a="1"/>
  <c r="B204" i="10" a="1"/>
  <c r="B172" i="10" a="1"/>
  <c r="B150" i="10" a="1"/>
  <c r="B86" i="10" a="1"/>
  <c r="B101" i="10" a="1"/>
  <c r="B141" i="10" a="1"/>
  <c r="B37" i="10" a="1"/>
  <c r="B147" i="10" a="1"/>
  <c r="B73" i="10" a="1"/>
  <c r="H68" i="10" a="1"/>
  <c r="H98" i="10" a="1"/>
  <c r="H141" i="10" a="1"/>
  <c r="H140" i="10" a="1"/>
  <c r="B79" i="10" a="1"/>
  <c r="H38" i="10" a="1"/>
  <c r="B124" i="10" a="1"/>
  <c r="H115" i="10" a="1"/>
  <c r="H206" i="10" a="1"/>
  <c r="H101" i="10" a="1"/>
  <c r="B110" i="10" a="1"/>
  <c r="B88" i="10" a="1"/>
  <c r="B181" i="10" a="1"/>
  <c r="B128" i="10" a="1"/>
  <c r="H124" i="10" a="1"/>
  <c r="B173" i="10" a="1"/>
  <c r="B160" i="10" a="1"/>
  <c r="H67" i="10" a="1"/>
  <c r="B77" i="10" a="1"/>
  <c r="B92" i="10" a="1"/>
  <c r="B197" i="10" a="1"/>
  <c r="B104" i="10" a="1"/>
  <c r="H137" i="10" a="1"/>
  <c r="H79" i="10" a="1"/>
  <c r="Q15" i="16" l="1"/>
  <c r="E39" i="16"/>
  <c r="C39" i="16" a="1"/>
  <c r="C39" i="16" s="1"/>
  <c r="D39" i="16" a="1"/>
  <c r="D39" i="16" s="1"/>
  <c r="D45" i="16" a="1"/>
  <c r="D45" i="16" s="1"/>
  <c r="C45" i="16" a="1"/>
  <c r="C45" i="16" s="1"/>
  <c r="E45" i="16"/>
  <c r="D56" i="16" a="1"/>
  <c r="D56" i="16" s="1"/>
  <c r="C56" i="16" a="1"/>
  <c r="C56" i="16" s="1"/>
  <c r="E56" i="16"/>
  <c r="E74" i="16"/>
  <c r="D74" i="16" a="1"/>
  <c r="D74" i="16" s="1"/>
  <c r="C74" i="16" a="1"/>
  <c r="C74" i="16" s="1"/>
  <c r="E54" i="16"/>
  <c r="C54" i="16" a="1"/>
  <c r="C54" i="16" s="1"/>
  <c r="D54" i="16" a="1"/>
  <c r="D54" i="16" s="1"/>
  <c r="C47" i="16" a="1"/>
  <c r="C47" i="16" s="1"/>
  <c r="D47" i="16" a="1"/>
  <c r="D47" i="16" s="1"/>
  <c r="E47" i="16"/>
  <c r="C46" i="16" a="1"/>
  <c r="C46" i="16" s="1"/>
  <c r="E46" i="16"/>
  <c r="D46" i="16" a="1"/>
  <c r="D46" i="16" s="1"/>
  <c r="E37" i="16"/>
  <c r="E51" i="16"/>
  <c r="D51" i="16" a="1"/>
  <c r="D51" i="16" s="1"/>
  <c r="C51" i="16" a="1"/>
  <c r="C51" i="16" s="1"/>
  <c r="D38" i="16" a="1"/>
  <c r="D38" i="16" s="1"/>
  <c r="E38" i="16"/>
  <c r="C38" i="16" a="1"/>
  <c r="C38" i="16" s="1"/>
  <c r="C62" i="16" a="1"/>
  <c r="C62" i="16" s="1"/>
  <c r="E62" i="16"/>
  <c r="D62" i="16" a="1"/>
  <c r="D62" i="16" s="1"/>
  <c r="C59" i="16" a="1"/>
  <c r="C59" i="16" s="1"/>
  <c r="E59" i="16"/>
  <c r="D59" i="16" a="1"/>
  <c r="D59" i="16" s="1"/>
  <c r="D42" i="16" a="1"/>
  <c r="D42" i="16" s="1"/>
  <c r="E42" i="16"/>
  <c r="C42" i="16" a="1"/>
  <c r="C42" i="16" s="1"/>
  <c r="E75" i="16"/>
  <c r="C75" i="16" a="1"/>
  <c r="C75" i="16" s="1"/>
  <c r="D75" i="16" a="1"/>
  <c r="D75" i="16" s="1"/>
  <c r="E57" i="16"/>
  <c r="D57" i="16" a="1"/>
  <c r="D57" i="16" s="1"/>
  <c r="C57" i="16" a="1"/>
  <c r="C57" i="16" s="1"/>
  <c r="E43" i="16"/>
  <c r="D43" i="16" a="1"/>
  <c r="D43" i="16" s="1"/>
  <c r="C43" i="16" a="1"/>
  <c r="C43" i="16" s="1"/>
  <c r="E58" i="16"/>
  <c r="D58" i="16" a="1"/>
  <c r="D58" i="16" s="1"/>
  <c r="C58" i="16" a="1"/>
  <c r="C58" i="16" s="1"/>
  <c r="E48" i="16"/>
  <c r="C48" i="16" a="1"/>
  <c r="C48" i="16" s="1"/>
  <c r="D48" i="16" a="1"/>
  <c r="D48" i="16" s="1"/>
  <c r="C73" i="16" a="1"/>
  <c r="C73" i="16" s="1"/>
  <c r="E73" i="16"/>
  <c r="D73" i="16" a="1"/>
  <c r="D73" i="16" s="1"/>
  <c r="D71" i="16" a="1"/>
  <c r="D71" i="16" s="1"/>
  <c r="C71" i="16" a="1"/>
  <c r="C71" i="16" s="1"/>
  <c r="E71" i="16"/>
  <c r="E72" i="16"/>
  <c r="D72" i="16" a="1"/>
  <c r="D72" i="16" s="1"/>
  <c r="C72" i="16" a="1"/>
  <c r="C72" i="16" s="1"/>
  <c r="K76" i="16"/>
  <c r="E40" i="16"/>
  <c r="D40" i="16" a="1"/>
  <c r="D40" i="16" s="1"/>
  <c r="C40" i="16" a="1"/>
  <c r="C40" i="16" s="1"/>
  <c r="E41" i="16"/>
  <c r="D41" i="16" a="1"/>
  <c r="D41" i="16" s="1"/>
  <c r="C41" i="16" a="1"/>
  <c r="C41" i="16" s="1"/>
  <c r="D76" i="16" a="1"/>
  <c r="D76" i="16" s="1"/>
  <c r="E76" i="16"/>
  <c r="C76" i="16" a="1"/>
  <c r="C76" i="16" s="1"/>
  <c r="E69" i="16"/>
  <c r="C69" i="16" a="1"/>
  <c r="C69" i="16" s="1"/>
  <c r="D69" i="16" a="1"/>
  <c r="D69" i="16" s="1"/>
  <c r="B11" i="16"/>
  <c r="H28" i="16"/>
  <c r="E44" i="16"/>
  <c r="D44" i="16" a="1"/>
  <c r="D44" i="16" s="1"/>
  <c r="C44" i="16" a="1"/>
  <c r="C44" i="16" s="1"/>
  <c r="C49" i="16" a="1"/>
  <c r="C49" i="16" s="1"/>
  <c r="E49" i="16"/>
  <c r="D49" i="16" a="1"/>
  <c r="D49" i="16" s="1"/>
  <c r="E67" i="16"/>
  <c r="D67" i="16" a="1"/>
  <c r="D67" i="16" s="1"/>
  <c r="C67" i="16" a="1"/>
  <c r="C67" i="16" s="1"/>
  <c r="E50" i="16"/>
  <c r="D50" i="16" a="1"/>
  <c r="D50" i="16" s="1"/>
  <c r="C50" i="16" a="1"/>
  <c r="C50" i="16" s="1"/>
  <c r="E61" i="16"/>
  <c r="D61" i="16" a="1"/>
  <c r="D61" i="16" s="1"/>
  <c r="C61" i="16" a="1"/>
  <c r="C61" i="16" s="1"/>
  <c r="C55" i="16" a="1"/>
  <c r="C55" i="16" s="1"/>
  <c r="E55" i="16"/>
  <c r="D55" i="16" a="1"/>
  <c r="D55" i="16" s="1"/>
  <c r="E60" i="16"/>
  <c r="D60" i="16" a="1"/>
  <c r="D60" i="16" s="1"/>
  <c r="C60" i="16" a="1"/>
  <c r="C60" i="16" s="1"/>
  <c r="D65" i="16" a="1"/>
  <c r="D65" i="16" s="1"/>
  <c r="C65" i="16" a="1"/>
  <c r="C65" i="16" s="1"/>
  <c r="E65" i="16"/>
  <c r="E52" i="16"/>
  <c r="D52" i="16" a="1"/>
  <c r="D52" i="16" s="1"/>
  <c r="C52" i="16" a="1"/>
  <c r="C52" i="16" s="1"/>
  <c r="C63" i="16" a="1"/>
  <c r="C63" i="16" s="1"/>
  <c r="D63" i="16" a="1"/>
  <c r="D63" i="16" s="1"/>
  <c r="E63" i="16"/>
  <c r="V7" i="16"/>
  <c r="I26" i="16"/>
  <c r="H8" i="16"/>
  <c r="I27" i="16" s="1"/>
  <c r="V6" i="16"/>
  <c r="C66" i="16" a="1"/>
  <c r="C66" i="16" s="1"/>
  <c r="E66" i="16"/>
  <c r="D66" i="16" a="1"/>
  <c r="D66" i="16" s="1"/>
  <c r="E53" i="16"/>
  <c r="D53" i="16" a="1"/>
  <c r="D53" i="16" s="1"/>
  <c r="C53" i="16" a="1"/>
  <c r="C53" i="16" s="1"/>
  <c r="E68" i="16"/>
  <c r="C68" i="16" a="1"/>
  <c r="C68" i="16" s="1"/>
  <c r="D68" i="16" a="1"/>
  <c r="D68" i="16" s="1"/>
  <c r="H11" i="16"/>
  <c r="I28" i="16"/>
  <c r="D64" i="16" a="1"/>
  <c r="D64" i="16" s="1"/>
  <c r="C64" i="16" a="1"/>
  <c r="C64" i="16" s="1"/>
  <c r="E64" i="16"/>
  <c r="D70" i="16" a="1"/>
  <c r="D70" i="16" s="1"/>
  <c r="C70" i="16" a="1"/>
  <c r="C70" i="16" s="1"/>
  <c r="E70" i="16"/>
  <c r="B8" i="16"/>
  <c r="H27" i="16" s="1"/>
  <c r="H26" i="16"/>
  <c r="V2" i="16"/>
  <c r="H113" i="10"/>
  <c r="H144" i="10"/>
  <c r="H184" i="10"/>
  <c r="H115" i="10"/>
  <c r="H162" i="10"/>
  <c r="H167" i="10"/>
  <c r="H38" i="10"/>
  <c r="H136" i="10"/>
  <c r="H49" i="10"/>
  <c r="H83" i="10"/>
  <c r="H197" i="10"/>
  <c r="H62" i="10"/>
  <c r="H151" i="10"/>
  <c r="H64" i="10"/>
  <c r="H130" i="10"/>
  <c r="H164" i="10"/>
  <c r="H77" i="10"/>
  <c r="H203" i="10"/>
  <c r="H120" i="10"/>
  <c r="H186" i="10"/>
  <c r="H67" i="10"/>
  <c r="H181" i="10"/>
  <c r="H123" i="10"/>
  <c r="H54" i="10"/>
  <c r="H202" i="10"/>
  <c r="H135" i="10"/>
  <c r="H48" i="10"/>
  <c r="H114" i="10"/>
  <c r="H148" i="10"/>
  <c r="H61" i="10"/>
  <c r="H191" i="10"/>
  <c r="H104" i="10"/>
  <c r="H170" i="10"/>
  <c r="H51" i="10"/>
  <c r="H165" i="10"/>
  <c r="H149" i="10"/>
  <c r="H160" i="10"/>
  <c r="H47" i="10"/>
  <c r="H201" i="10"/>
  <c r="H157" i="10"/>
  <c r="H46" i="10"/>
  <c r="H60" i="10"/>
  <c r="H70" i="10"/>
  <c r="H152" i="10"/>
  <c r="H43" i="10"/>
  <c r="H45" i="10"/>
  <c r="H94" i="10"/>
  <c r="H103" i="10"/>
  <c r="H169" i="10"/>
  <c r="H82" i="10"/>
  <c r="H116" i="10"/>
  <c r="H196" i="10"/>
  <c r="H159" i="10"/>
  <c r="H72" i="10"/>
  <c r="H138" i="10"/>
  <c r="H179" i="10"/>
  <c r="H133" i="10"/>
  <c r="H118" i="10"/>
  <c r="H97" i="10"/>
  <c r="H78" i="10"/>
  <c r="H59" i="10"/>
  <c r="H100" i="10"/>
  <c r="H180" i="10"/>
  <c r="H143" i="10"/>
  <c r="H56" i="10"/>
  <c r="H122" i="10"/>
  <c r="H188" i="10"/>
  <c r="H117" i="10"/>
  <c r="H102" i="10"/>
  <c r="H109" i="10"/>
  <c r="H198" i="10"/>
  <c r="H127" i="10"/>
  <c r="H40" i="10"/>
  <c r="H106" i="10"/>
  <c r="H172" i="10"/>
  <c r="H101" i="10"/>
  <c r="H173" i="10"/>
  <c r="H141" i="10"/>
  <c r="H75" i="10"/>
  <c r="H81" i="10"/>
  <c r="H96" i="10"/>
  <c r="H65" i="10"/>
  <c r="H146" i="10"/>
  <c r="H119" i="10"/>
  <c r="H154" i="10"/>
  <c r="H153" i="10"/>
  <c r="H84" i="10"/>
  <c r="H126" i="10"/>
  <c r="H55" i="10"/>
  <c r="H121" i="10"/>
  <c r="H187" i="10"/>
  <c r="H68" i="10"/>
  <c r="H182" i="10"/>
  <c r="H111" i="10"/>
  <c r="H193" i="10"/>
  <c r="H90" i="10"/>
  <c r="H156" i="10"/>
  <c r="H85" i="10"/>
  <c r="H92" i="10"/>
  <c r="H107" i="10"/>
  <c r="H147" i="10"/>
  <c r="H194" i="10"/>
  <c r="H131" i="10"/>
  <c r="H178" i="10"/>
  <c r="H125" i="10"/>
  <c r="H183" i="10"/>
  <c r="H99" i="10"/>
  <c r="H80" i="10"/>
  <c r="H174" i="10"/>
  <c r="H185" i="10"/>
  <c r="H88" i="10"/>
  <c r="H199" i="10"/>
  <c r="H142" i="10"/>
  <c r="H137" i="10"/>
  <c r="H206" i="10"/>
  <c r="H39" i="10"/>
  <c r="H105" i="10"/>
  <c r="H171" i="10"/>
  <c r="H52" i="10"/>
  <c r="H166" i="10"/>
  <c r="H95" i="10"/>
  <c r="H177" i="10"/>
  <c r="H74" i="10"/>
  <c r="H140" i="10"/>
  <c r="H69" i="10"/>
  <c r="H57" i="10"/>
  <c r="H163" i="10"/>
  <c r="H41" i="10"/>
  <c r="H76" i="10"/>
  <c r="H91" i="10"/>
  <c r="H44" i="10"/>
  <c r="H93" i="10"/>
  <c r="H132" i="10"/>
  <c r="H195" i="10"/>
  <c r="H87" i="10"/>
  <c r="H71" i="10"/>
  <c r="H110" i="10"/>
  <c r="H192" i="10"/>
  <c r="H89" i="10"/>
  <c r="H155" i="10"/>
  <c r="H205" i="10"/>
  <c r="H150" i="10"/>
  <c r="H79" i="10"/>
  <c r="H161" i="10"/>
  <c r="H58" i="10"/>
  <c r="H124" i="10"/>
  <c r="H53" i="10"/>
  <c r="H190" i="10"/>
  <c r="H129" i="10"/>
  <c r="H200" i="10"/>
  <c r="H128" i="10"/>
  <c r="H86" i="10"/>
  <c r="H112" i="10"/>
  <c r="H168" i="10"/>
  <c r="H204" i="10"/>
  <c r="H98" i="10"/>
  <c r="H175" i="10"/>
  <c r="H66" i="10"/>
  <c r="H50" i="10"/>
  <c r="H158" i="10"/>
  <c r="H176" i="10"/>
  <c r="H73" i="10"/>
  <c r="H139" i="10"/>
  <c r="H189" i="10"/>
  <c r="H134" i="10"/>
  <c r="H63" i="10"/>
  <c r="H145" i="10"/>
  <c r="H42" i="10"/>
  <c r="H108" i="10"/>
  <c r="H37" i="10"/>
  <c r="B187" i="10"/>
  <c r="B114" i="10"/>
  <c r="B165" i="10"/>
  <c r="B205" i="10"/>
  <c r="B41" i="10"/>
  <c r="B182" i="10"/>
  <c r="B63" i="10"/>
  <c r="B161" i="10"/>
  <c r="B170" i="10"/>
  <c r="B156" i="10"/>
  <c r="B107" i="10"/>
  <c r="B193" i="10"/>
  <c r="B116" i="10"/>
  <c r="B166" i="10"/>
  <c r="B47" i="10"/>
  <c r="B145" i="10"/>
  <c r="B154" i="10"/>
  <c r="B140" i="10"/>
  <c r="B146" i="10"/>
  <c r="B119" i="10"/>
  <c r="B189" i="10"/>
  <c r="B100" i="10"/>
  <c r="B150" i="10"/>
  <c r="B191" i="10"/>
  <c r="B129" i="10"/>
  <c r="B195" i="10"/>
  <c r="B124" i="10"/>
  <c r="B78" i="10"/>
  <c r="B55" i="10"/>
  <c r="B98" i="10"/>
  <c r="B142" i="10"/>
  <c r="B84" i="10"/>
  <c r="B134" i="10"/>
  <c r="B175" i="10"/>
  <c r="B113" i="10"/>
  <c r="B179" i="10"/>
  <c r="B108" i="10"/>
  <c r="B48" i="10"/>
  <c r="B68" i="10"/>
  <c r="B118" i="10"/>
  <c r="B200" i="10"/>
  <c r="B97" i="10"/>
  <c r="B163" i="10"/>
  <c r="B92" i="10"/>
  <c r="B132" i="10"/>
  <c r="B82" i="10"/>
  <c r="B64" i="10"/>
  <c r="B130" i="10"/>
  <c r="B46" i="10"/>
  <c r="B75" i="10"/>
  <c r="B52" i="10"/>
  <c r="B102" i="10"/>
  <c r="B184" i="10"/>
  <c r="B81" i="10"/>
  <c r="B147" i="10"/>
  <c r="B76" i="10"/>
  <c r="B194" i="10"/>
  <c r="B39" i="10"/>
  <c r="B201" i="10"/>
  <c r="B173" i="10"/>
  <c r="B86" i="10"/>
  <c r="B168" i="10"/>
  <c r="B65" i="10"/>
  <c r="B131" i="10"/>
  <c r="B60" i="10"/>
  <c r="B94" i="10"/>
  <c r="B206" i="10"/>
  <c r="B126" i="10"/>
  <c r="B96" i="10"/>
  <c r="B185" i="10"/>
  <c r="B157" i="10"/>
  <c r="B70" i="10"/>
  <c r="B152" i="10"/>
  <c r="B49" i="10"/>
  <c r="B115" i="10"/>
  <c r="B44" i="10"/>
  <c r="B169" i="10"/>
  <c r="B54" i="10"/>
  <c r="B136" i="10"/>
  <c r="B138" i="10"/>
  <c r="B99" i="10"/>
  <c r="B149" i="10"/>
  <c r="B178" i="10"/>
  <c r="B71" i="10"/>
  <c r="B167" i="10"/>
  <c r="B203" i="10"/>
  <c r="B141" i="10"/>
  <c r="B80" i="10"/>
  <c r="B162" i="10"/>
  <c r="B197" i="10"/>
  <c r="B199" i="10"/>
  <c r="B153" i="10"/>
  <c r="B125" i="10"/>
  <c r="B38" i="10"/>
  <c r="B120" i="10"/>
  <c r="B122" i="10"/>
  <c r="B83" i="10"/>
  <c r="B133" i="10"/>
  <c r="B62" i="10"/>
  <c r="B123" i="10"/>
  <c r="B87" i="10"/>
  <c r="B158" i="10"/>
  <c r="B174" i="10"/>
  <c r="B103" i="10"/>
  <c r="B181" i="10"/>
  <c r="B160" i="10"/>
  <c r="B137" i="10"/>
  <c r="B109" i="10"/>
  <c r="B159" i="10"/>
  <c r="B104" i="10"/>
  <c r="B106" i="10"/>
  <c r="B67" i="10"/>
  <c r="B117" i="10"/>
  <c r="B148" i="10"/>
  <c r="B180" i="10"/>
  <c r="B144" i="10"/>
  <c r="B155" i="10"/>
  <c r="B121" i="10"/>
  <c r="B93" i="10"/>
  <c r="B143" i="10"/>
  <c r="B88" i="10"/>
  <c r="B90" i="10"/>
  <c r="B51" i="10"/>
  <c r="B101" i="10"/>
  <c r="B196" i="10"/>
  <c r="B77" i="10"/>
  <c r="B72" i="10"/>
  <c r="B74" i="10"/>
  <c r="B186" i="10"/>
  <c r="B85" i="10"/>
  <c r="B135" i="10"/>
  <c r="B151" i="10"/>
  <c r="B164" i="10"/>
  <c r="B56" i="10"/>
  <c r="B204" i="10"/>
  <c r="B69" i="10"/>
  <c r="B91" i="10"/>
  <c r="B183" i="10"/>
  <c r="B112" i="10"/>
  <c r="B105" i="10"/>
  <c r="B127" i="10"/>
  <c r="B128" i="10"/>
  <c r="B192" i="10"/>
  <c r="B66" i="10"/>
  <c r="B89" i="10"/>
  <c r="B61" i="10"/>
  <c r="B111" i="10"/>
  <c r="B58" i="10"/>
  <c r="B50" i="10"/>
  <c r="B190" i="10"/>
  <c r="B176" i="10"/>
  <c r="B110" i="10"/>
  <c r="B73" i="10"/>
  <c r="B45" i="10"/>
  <c r="B95" i="10"/>
  <c r="B40" i="10"/>
  <c r="B42" i="10"/>
  <c r="B188" i="10"/>
  <c r="B53" i="10"/>
  <c r="B43" i="10"/>
  <c r="B139" i="10"/>
  <c r="B171" i="10"/>
  <c r="B59" i="10"/>
  <c r="B57" i="10"/>
  <c r="B198" i="10"/>
  <c r="B79" i="10"/>
  <c r="B177" i="10"/>
  <c r="B202" i="10"/>
  <c r="B172" i="10"/>
  <c r="B37" i="10"/>
  <c r="H7" i="10"/>
  <c r="B7" i="10"/>
  <c r="Q15" i="10"/>
  <c r="Q21" i="10"/>
  <c r="Q22" i="10" s="1"/>
  <c r="R22" i="10" s="1"/>
  <c r="Q17" i="10"/>
  <c r="Q18" i="10" s="1"/>
  <c r="R18" i="10" s="1"/>
  <c r="I26" i="10"/>
  <c r="H26" i="10"/>
  <c r="I28" i="10"/>
  <c r="H28" i="10"/>
  <c r="H11" i="10"/>
  <c r="H8" i="10"/>
  <c r="I27" i="10" s="1"/>
  <c r="B8" i="10"/>
  <c r="H27" i="10" s="1"/>
  <c r="B11" i="10"/>
  <c r="B10" i="9"/>
  <c r="B9" i="9"/>
  <c r="B20" i="9"/>
  <c r="B21" i="9" s="1"/>
  <c r="B22" i="9" s="1"/>
  <c r="B23" i="9" s="1"/>
  <c r="B28" i="9" s="1"/>
  <c r="L10" i="9"/>
  <c r="B58" i="5"/>
  <c r="C58" i="5" s="1"/>
  <c r="D58" i="5" s="1"/>
  <c r="B60" i="5"/>
  <c r="C60" i="5" s="1"/>
  <c r="D60" i="5" s="1"/>
  <c r="B20" i="5"/>
  <c r="B10" i="5"/>
  <c r="B56" i="5" s="1"/>
  <c r="B9" i="5"/>
  <c r="B27" i="5" s="1"/>
  <c r="I76" i="16" a="1"/>
  <c r="J72" i="16" a="1"/>
  <c r="J70" i="16" a="1"/>
  <c r="I43" i="16" a="1"/>
  <c r="I60" i="16" a="1"/>
  <c r="I40" i="16" a="1"/>
  <c r="J58" i="16" a="1"/>
  <c r="I87" i="10" a="1"/>
  <c r="J64" i="16" a="1"/>
  <c r="I82" i="10" a="1"/>
  <c r="J69" i="16" a="1"/>
  <c r="J61" i="16" a="1"/>
  <c r="I59" i="16" a="1"/>
  <c r="I41" i="16" a="1"/>
  <c r="I79" i="10" a="1"/>
  <c r="I85" i="10" a="1"/>
  <c r="J75" i="16" a="1"/>
  <c r="I80" i="10" a="1"/>
  <c r="J66" i="16" a="1"/>
  <c r="J48" i="16" a="1"/>
  <c r="I65" i="16" a="1"/>
  <c r="I92" i="10" a="1"/>
  <c r="I71" i="16" a="1"/>
  <c r="I91" i="10" a="1"/>
  <c r="I93" i="10" a="1"/>
  <c r="I70" i="16" a="1"/>
  <c r="I38" i="16" a="1"/>
  <c r="J73" i="16" a="1"/>
  <c r="I57" i="16" a="1"/>
  <c r="I46" i="16" a="1"/>
  <c r="I78" i="10" a="1"/>
  <c r="I51" i="16" a="1"/>
  <c r="I69" i="16" a="1"/>
  <c r="J52" i="16" a="1"/>
  <c r="J54" i="16" a="1"/>
  <c r="I42" i="16" a="1"/>
  <c r="J55" i="16" a="1"/>
  <c r="I39" i="16" a="1"/>
  <c r="I99" i="10" a="1"/>
  <c r="I61" i="16" a="1"/>
  <c r="J47" i="16" a="1"/>
  <c r="J62" i="16" a="1"/>
  <c r="J41" i="16" a="1"/>
  <c r="I50" i="16" a="1"/>
  <c r="J76" i="16" a="1"/>
  <c r="I86" i="10" a="1"/>
  <c r="I64" i="16" a="1"/>
  <c r="J68" i="16" a="1"/>
  <c r="J71" i="16" a="1"/>
  <c r="J60" i="16" a="1"/>
  <c r="I102" i="10" a="1"/>
  <c r="J44" i="16" a="1"/>
  <c r="I83" i="10" a="1"/>
  <c r="J46" i="16" a="1"/>
  <c r="I72" i="16" a="1"/>
  <c r="I84" i="10" a="1"/>
  <c r="J38" i="16" a="1"/>
  <c r="J65" i="16" a="1"/>
  <c r="I74" i="16" a="1"/>
  <c r="J43" i="16" a="1"/>
  <c r="J39" i="16" a="1"/>
  <c r="I94" i="10" a="1"/>
  <c r="I54" i="16" a="1"/>
  <c r="I81" i="10" a="1"/>
  <c r="I96" i="10" a="1"/>
  <c r="I67" i="16" a="1"/>
  <c r="I77" i="10" a="1"/>
  <c r="I45" i="16" a="1"/>
  <c r="I98" i="10" a="1"/>
  <c r="C37" i="16" a="1"/>
  <c r="J50" i="16" a="1"/>
  <c r="I90" i="10" a="1"/>
  <c r="I56" i="16" a="1"/>
  <c r="J37" i="16" a="1"/>
  <c r="I101" i="10" a="1"/>
  <c r="I100" i="10" a="1"/>
  <c r="I66" i="16" a="1"/>
  <c r="J56" i="16" a="1"/>
  <c r="I63" i="16" a="1"/>
  <c r="I97" i="10" a="1"/>
  <c r="J42" i="16" a="1"/>
  <c r="I49" i="16" a="1"/>
  <c r="J63" i="16" a="1"/>
  <c r="J67" i="16" a="1"/>
  <c r="J59" i="16" a="1"/>
  <c r="J53" i="16" a="1"/>
  <c r="J40" i="16" a="1"/>
  <c r="I47" i="16" a="1"/>
  <c r="I52" i="16" a="1"/>
  <c r="J49" i="16" a="1"/>
  <c r="I73" i="16" a="1"/>
  <c r="I53" i="16" a="1"/>
  <c r="I89" i="10" a="1"/>
  <c r="J45" i="16" a="1"/>
  <c r="I75" i="16" a="1"/>
  <c r="I68" i="16" a="1"/>
  <c r="D37" i="16" a="1"/>
  <c r="I62" i="16" a="1"/>
  <c r="I44" i="16" a="1"/>
  <c r="I55" i="16" a="1"/>
  <c r="I37" i="16" a="1"/>
  <c r="I48" i="16" a="1"/>
  <c r="J74" i="16" a="1"/>
  <c r="J57" i="16" a="1"/>
  <c r="I58" i="16" a="1"/>
  <c r="J51" i="16" a="1"/>
  <c r="I95" i="10" a="1"/>
  <c r="I88" i="10" a="1"/>
  <c r="I46" i="16" l="1"/>
  <c r="J58" i="16"/>
  <c r="J75" i="16"/>
  <c r="I67" i="16"/>
  <c r="I40" i="16"/>
  <c r="J57" i="16"/>
  <c r="I37" i="16"/>
  <c r="I74" i="16"/>
  <c r="J46" i="16"/>
  <c r="J53" i="16"/>
  <c r="J76" i="16"/>
  <c r="I39" i="16"/>
  <c r="J67" i="16"/>
  <c r="I57" i="16"/>
  <c r="J74" i="16"/>
  <c r="I55" i="16"/>
  <c r="I53" i="16"/>
  <c r="I63" i="16"/>
  <c r="J39" i="16"/>
  <c r="J65" i="16"/>
  <c r="I50" i="16"/>
  <c r="J55" i="16"/>
  <c r="J63" i="16"/>
  <c r="J73" i="16"/>
  <c r="I65" i="16"/>
  <c r="J50" i="16"/>
  <c r="I43" i="16"/>
  <c r="I44" i="16"/>
  <c r="I73" i="16"/>
  <c r="J56" i="16"/>
  <c r="J43" i="16"/>
  <c r="J38" i="16"/>
  <c r="J44" i="16"/>
  <c r="I56" i="16"/>
  <c r="J41" i="16"/>
  <c r="I42" i="16"/>
  <c r="I51" i="16"/>
  <c r="I38" i="16"/>
  <c r="J48" i="16"/>
  <c r="I41" i="16"/>
  <c r="J42" i="16"/>
  <c r="J51" i="16"/>
  <c r="K50" i="16" s="1"/>
  <c r="I48" i="16"/>
  <c r="I62" i="16"/>
  <c r="J49" i="16"/>
  <c r="I66" i="16"/>
  <c r="C37" i="16"/>
  <c r="J59" i="16"/>
  <c r="J62" i="16"/>
  <c r="J54" i="16"/>
  <c r="I49" i="16"/>
  <c r="I70" i="16"/>
  <c r="J66" i="16"/>
  <c r="I59" i="16"/>
  <c r="I54" i="16"/>
  <c r="J64" i="16"/>
  <c r="J70" i="16"/>
  <c r="D37" i="16"/>
  <c r="I52" i="16"/>
  <c r="J60" i="16"/>
  <c r="I64" i="16"/>
  <c r="J47" i="16"/>
  <c r="J52" i="16"/>
  <c r="J45" i="16"/>
  <c r="I60" i="16"/>
  <c r="J72" i="16"/>
  <c r="I68" i="16"/>
  <c r="I47" i="16"/>
  <c r="I45" i="16"/>
  <c r="I72" i="16"/>
  <c r="J71" i="16"/>
  <c r="J68" i="16"/>
  <c r="I61" i="16"/>
  <c r="I69" i="16"/>
  <c r="I71" i="16"/>
  <c r="J61" i="16"/>
  <c r="J69" i="16"/>
  <c r="I58" i="16"/>
  <c r="I76" i="16"/>
  <c r="I75" i="16"/>
  <c r="J40" i="16"/>
  <c r="J37" i="16"/>
  <c r="L26" i="16"/>
  <c r="J26" i="16"/>
  <c r="W3" i="16"/>
  <c r="W2" i="16"/>
  <c r="J28" i="16"/>
  <c r="L28" i="16"/>
  <c r="W6" i="16"/>
  <c r="W7" i="16"/>
  <c r="J27" i="16"/>
  <c r="L27" i="16"/>
  <c r="Q12" i="16"/>
  <c r="B12" i="16"/>
  <c r="H12" i="16"/>
  <c r="B29" i="16"/>
  <c r="B30" i="16" s="1"/>
  <c r="I100" i="10"/>
  <c r="I98" i="10"/>
  <c r="I80" i="10"/>
  <c r="I101" i="10"/>
  <c r="I78" i="10"/>
  <c r="I89" i="10"/>
  <c r="I99" i="10"/>
  <c r="I97" i="10"/>
  <c r="I90" i="10"/>
  <c r="I83" i="10"/>
  <c r="I95" i="10"/>
  <c r="I86" i="10"/>
  <c r="I79" i="10"/>
  <c r="I87" i="10"/>
  <c r="I84" i="10"/>
  <c r="I102" i="10"/>
  <c r="I93" i="10"/>
  <c r="I81" i="10"/>
  <c r="I88" i="10"/>
  <c r="I92" i="10"/>
  <c r="I91" i="10"/>
  <c r="I85" i="10"/>
  <c r="I82" i="10"/>
  <c r="I94" i="10"/>
  <c r="I96" i="10"/>
  <c r="I77" i="10"/>
  <c r="I158" i="10" a="1"/>
  <c r="I158" i="10" s="1"/>
  <c r="J158" i="10" a="1"/>
  <c r="J158" i="10" s="1"/>
  <c r="K158" i="10"/>
  <c r="I161" i="10" a="1"/>
  <c r="I161" i="10" s="1"/>
  <c r="J161" i="10" a="1"/>
  <c r="J161" i="10" s="1"/>
  <c r="K161" i="10"/>
  <c r="I199" i="10" a="1"/>
  <c r="I199" i="10" s="1"/>
  <c r="J199" i="10" a="1"/>
  <c r="J199" i="10" s="1"/>
  <c r="K199" i="10"/>
  <c r="I143" i="10" a="1"/>
  <c r="I143" i="10" s="1"/>
  <c r="J143" i="10" a="1"/>
  <c r="J143" i="10" s="1"/>
  <c r="K143" i="10"/>
  <c r="I103" i="10" a="1"/>
  <c r="I103" i="10" s="1"/>
  <c r="J103" i="10" a="1"/>
  <c r="J103" i="10" s="1"/>
  <c r="K103" i="10"/>
  <c r="I104" i="10" a="1"/>
  <c r="I104" i="10" s="1"/>
  <c r="J104" i="10" a="1"/>
  <c r="J104" i="10" s="1"/>
  <c r="K104" i="10"/>
  <c r="I164" i="10" a="1"/>
  <c r="I164" i="10" s="1"/>
  <c r="J164" i="10" a="1"/>
  <c r="J164" i="10" s="1"/>
  <c r="K164" i="10"/>
  <c r="I163" i="10" a="1"/>
  <c r="I163" i="10" s="1"/>
  <c r="J163" i="10" a="1"/>
  <c r="J163" i="10" s="1"/>
  <c r="K163" i="10"/>
  <c r="I193" i="10" a="1"/>
  <c r="I193" i="10" s="1"/>
  <c r="K193" i="10"/>
  <c r="J193" i="10" a="1"/>
  <c r="J193" i="10" s="1"/>
  <c r="I180" i="10" a="1"/>
  <c r="I180" i="10" s="1"/>
  <c r="J180" i="10" a="1"/>
  <c r="J180" i="10" s="1"/>
  <c r="K180" i="10"/>
  <c r="I191" i="10" a="1"/>
  <c r="I191" i="10" s="1"/>
  <c r="J191" i="10" a="1"/>
  <c r="J191" i="10" s="1"/>
  <c r="K191" i="10"/>
  <c r="K130" i="10"/>
  <c r="I130" i="10" a="1"/>
  <c r="I130" i="10" s="1"/>
  <c r="J130" i="10" a="1"/>
  <c r="J130" i="10" s="1"/>
  <c r="I150" i="10" a="1"/>
  <c r="I150" i="10" s="1"/>
  <c r="J150" i="10" a="1"/>
  <c r="J150" i="10" s="1"/>
  <c r="K150" i="10"/>
  <c r="J185" i="10" a="1"/>
  <c r="J185" i="10" s="1"/>
  <c r="K185" i="10"/>
  <c r="I185" i="10" a="1"/>
  <c r="I185" i="10" s="1"/>
  <c r="I111" i="10" a="1"/>
  <c r="I111" i="10" s="1"/>
  <c r="J111" i="10" a="1"/>
  <c r="J111" i="10" s="1"/>
  <c r="K111" i="10"/>
  <c r="I141" i="10" a="1"/>
  <c r="I141" i="10" s="1"/>
  <c r="J141" i="10" a="1"/>
  <c r="J141" i="10" s="1"/>
  <c r="K141" i="10"/>
  <c r="I175" i="10" a="1"/>
  <c r="I175" i="10" s="1"/>
  <c r="J175" i="10" a="1"/>
  <c r="J175" i="10" s="1"/>
  <c r="K175" i="10"/>
  <c r="I205" i="10" a="1"/>
  <c r="I205" i="10" s="1"/>
  <c r="K205" i="10"/>
  <c r="J205" i="10" a="1"/>
  <c r="J205" i="10" s="1"/>
  <c r="I174" i="10" a="1"/>
  <c r="I174" i="10" s="1"/>
  <c r="J174" i="10" a="1"/>
  <c r="J174" i="10" s="1"/>
  <c r="K174" i="10"/>
  <c r="I182" i="10" a="1"/>
  <c r="I182" i="10" s="1"/>
  <c r="J182" i="10" a="1"/>
  <c r="J182" i="10" s="1"/>
  <c r="K182" i="10"/>
  <c r="I173" i="10" a="1"/>
  <c r="I173" i="10" s="1"/>
  <c r="J173" i="10" a="1"/>
  <c r="J173" i="10" s="1"/>
  <c r="K173" i="10"/>
  <c r="I148" i="10" a="1"/>
  <c r="I148" i="10" s="1"/>
  <c r="J148" i="10" a="1"/>
  <c r="J148" i="10" s="1"/>
  <c r="K148" i="10"/>
  <c r="I151" i="10" a="1"/>
  <c r="I151" i="10" s="1"/>
  <c r="J151" i="10" a="1"/>
  <c r="J151" i="10" s="1"/>
  <c r="K151" i="10"/>
  <c r="I109" i="10" a="1"/>
  <c r="I109" i="10" s="1"/>
  <c r="J109" i="10" a="1"/>
  <c r="J109" i="10" s="1"/>
  <c r="K109" i="10"/>
  <c r="K155" i="10"/>
  <c r="I155" i="10" a="1"/>
  <c r="I155" i="10" s="1"/>
  <c r="J155" i="10" a="1"/>
  <c r="J155" i="10" s="1"/>
  <c r="I140" i="10" a="1"/>
  <c r="I140" i="10" s="1"/>
  <c r="J140" i="10" a="1"/>
  <c r="J140" i="10" s="1"/>
  <c r="K140" i="10"/>
  <c r="I152" i="10" a="1"/>
  <c r="I152" i="10" s="1"/>
  <c r="J152" i="10" a="1"/>
  <c r="J152" i="10" s="1"/>
  <c r="K152" i="10"/>
  <c r="K114" i="10"/>
  <c r="I114" i="10" a="1"/>
  <c r="I114" i="10" s="1"/>
  <c r="J114" i="10" a="1"/>
  <c r="J114" i="10" s="1"/>
  <c r="I204" i="10" a="1"/>
  <c r="I204" i="10" s="1"/>
  <c r="K204" i="10"/>
  <c r="J204" i="10" a="1"/>
  <c r="J204" i="10" s="1"/>
  <c r="K187" i="10"/>
  <c r="I187" i="10" a="1"/>
  <c r="I187" i="10" s="1"/>
  <c r="J187" i="10" a="1"/>
  <c r="J187" i="10" s="1"/>
  <c r="I172" i="10" a="1"/>
  <c r="I172" i="10" s="1"/>
  <c r="J172" i="10" a="1"/>
  <c r="J172" i="10" s="1"/>
  <c r="K172" i="10"/>
  <c r="I197" i="10" a="1"/>
  <c r="I197" i="10" s="1"/>
  <c r="J197" i="10" a="1"/>
  <c r="J197" i="10" s="1"/>
  <c r="K197" i="10"/>
  <c r="I168" i="10" a="1"/>
  <c r="I168" i="10" s="1"/>
  <c r="J168" i="10" a="1"/>
  <c r="J168" i="10" s="1"/>
  <c r="K168" i="10"/>
  <c r="J192" i="10" a="1"/>
  <c r="J192" i="10" s="1"/>
  <c r="K192" i="10"/>
  <c r="I192" i="10" a="1"/>
  <c r="I192" i="10" s="1"/>
  <c r="I177" i="10" a="1"/>
  <c r="I177" i="10" s="1"/>
  <c r="J177" i="10" a="1"/>
  <c r="J177" i="10" s="1"/>
  <c r="K177" i="10"/>
  <c r="I183" i="10" a="1"/>
  <c r="I183" i="10" s="1"/>
  <c r="J183" i="10" a="1"/>
  <c r="J183" i="10" s="1"/>
  <c r="K183" i="10"/>
  <c r="J121" i="10" a="1"/>
  <c r="J121" i="10" s="1"/>
  <c r="K121" i="10"/>
  <c r="I121" i="10" a="1"/>
  <c r="I121" i="10" s="1"/>
  <c r="I106" i="10" a="1"/>
  <c r="I106" i="10" s="1"/>
  <c r="J106" i="10" a="1"/>
  <c r="J106" i="10" s="1"/>
  <c r="K106" i="10"/>
  <c r="I118" i="10" a="1"/>
  <c r="I118" i="10" s="1"/>
  <c r="J118" i="10" a="1"/>
  <c r="J118" i="10" s="1"/>
  <c r="K118" i="10"/>
  <c r="I135" i="10" a="1"/>
  <c r="I135" i="10" s="1"/>
  <c r="J135" i="10" a="1"/>
  <c r="J135" i="10" s="1"/>
  <c r="K135" i="10"/>
  <c r="I108" i="10" a="1"/>
  <c r="I108" i="10" s="1"/>
  <c r="J108" i="10" a="1"/>
  <c r="J108" i="10" s="1"/>
  <c r="K108" i="10"/>
  <c r="J112" i="10" a="1"/>
  <c r="J112" i="10" s="1"/>
  <c r="K112" i="10"/>
  <c r="I112" i="10" a="1"/>
  <c r="I112" i="10" s="1"/>
  <c r="I110" i="10" a="1"/>
  <c r="I110" i="10" s="1"/>
  <c r="J110" i="10" a="1"/>
  <c r="J110" i="10" s="1"/>
  <c r="K110" i="10"/>
  <c r="I125" i="10" a="1"/>
  <c r="I125" i="10" s="1"/>
  <c r="J125" i="10" a="1"/>
  <c r="J125" i="10" s="1"/>
  <c r="K125" i="10"/>
  <c r="I133" i="10" a="1"/>
  <c r="I133" i="10" s="1"/>
  <c r="J133" i="10" a="1"/>
  <c r="J133" i="10" s="1"/>
  <c r="K133" i="10"/>
  <c r="J202" i="10" a="1"/>
  <c r="J202" i="10" s="1"/>
  <c r="K202" i="10"/>
  <c r="I202" i="10" a="1"/>
  <c r="I202" i="10" s="1"/>
  <c r="I166" i="10" a="1"/>
  <c r="I166" i="10" s="1"/>
  <c r="J166" i="10" a="1"/>
  <c r="J166" i="10" s="1"/>
  <c r="K166" i="10"/>
  <c r="K178" i="10"/>
  <c r="I178" i="10" a="1"/>
  <c r="I178" i="10" s="1"/>
  <c r="J178" i="10" a="1"/>
  <c r="J178" i="10" s="1"/>
  <c r="I126" i="10" a="1"/>
  <c r="I126" i="10" s="1"/>
  <c r="J126" i="10" a="1"/>
  <c r="J126" i="10" s="1"/>
  <c r="K126" i="10"/>
  <c r="I127" i="10" a="1"/>
  <c r="I127" i="10" s="1"/>
  <c r="J127" i="10" a="1"/>
  <c r="J127" i="10" s="1"/>
  <c r="K127" i="10"/>
  <c r="I179" i="10" a="1"/>
  <c r="I179" i="10" s="1"/>
  <c r="J179" i="10" a="1"/>
  <c r="J179" i="10" s="1"/>
  <c r="K179" i="10"/>
  <c r="I157" i="10" a="1"/>
  <c r="I157" i="10" s="1"/>
  <c r="J157" i="10" a="1"/>
  <c r="J157" i="10" s="1"/>
  <c r="K157" i="10"/>
  <c r="I136" i="10" a="1"/>
  <c r="I136" i="10" s="1"/>
  <c r="J136" i="10" a="1"/>
  <c r="J136" i="10" s="1"/>
  <c r="K136" i="10"/>
  <c r="I145" i="10" a="1"/>
  <c r="I145" i="10" s="1"/>
  <c r="J145" i="10" a="1"/>
  <c r="J145" i="10" s="1"/>
  <c r="K145" i="10"/>
  <c r="J128" i="10" a="1"/>
  <c r="J128" i="10" s="1"/>
  <c r="K128" i="10"/>
  <c r="I128" i="10" a="1"/>
  <c r="I128" i="10" s="1"/>
  <c r="I131" i="10" a="1"/>
  <c r="I131" i="10" s="1"/>
  <c r="J131" i="10" a="1"/>
  <c r="J131" i="10" s="1"/>
  <c r="K131" i="10"/>
  <c r="J198" i="10" a="1"/>
  <c r="J198" i="10" s="1"/>
  <c r="I198" i="10" a="1"/>
  <c r="I198" i="10" s="1"/>
  <c r="K198" i="10"/>
  <c r="I138" i="10" a="1"/>
  <c r="I138" i="10" s="1"/>
  <c r="J138" i="10" a="1"/>
  <c r="J138" i="10" s="1"/>
  <c r="K138" i="10"/>
  <c r="J201" i="10" a="1"/>
  <c r="J201" i="10" s="1"/>
  <c r="K201" i="10"/>
  <c r="I201" i="10" a="1"/>
  <c r="I201" i="10" s="1"/>
  <c r="K123" i="10"/>
  <c r="I123" i="10" a="1"/>
  <c r="I123" i="10" s="1"/>
  <c r="J123" i="10" a="1"/>
  <c r="J123" i="10" s="1"/>
  <c r="I181" i="10" a="1"/>
  <c r="I181" i="10" s="1"/>
  <c r="J181" i="10" a="1"/>
  <c r="J181" i="10" s="1"/>
  <c r="K181" i="10"/>
  <c r="I167" i="10" a="1"/>
  <c r="I167" i="10" s="1"/>
  <c r="J167" i="10" a="1"/>
  <c r="J167" i="10" s="1"/>
  <c r="K167" i="10"/>
  <c r="I195" i="10" a="1"/>
  <c r="I195" i="10" s="1"/>
  <c r="J195" i="10" a="1"/>
  <c r="J195" i="10" s="1"/>
  <c r="K195" i="10"/>
  <c r="I134" i="10" a="1"/>
  <c r="I134" i="10" s="1"/>
  <c r="J134" i="10" a="1"/>
  <c r="J134" i="10" s="1"/>
  <c r="K134" i="10"/>
  <c r="I129" i="10" a="1"/>
  <c r="I129" i="10" s="1"/>
  <c r="J129" i="10" a="1"/>
  <c r="J129" i="10" s="1"/>
  <c r="K129" i="10"/>
  <c r="I132" i="10" a="1"/>
  <c r="I132" i="10" s="1"/>
  <c r="J132" i="10" a="1"/>
  <c r="J132" i="10" s="1"/>
  <c r="K132" i="10"/>
  <c r="J105" i="10" a="1"/>
  <c r="J105" i="10" s="1"/>
  <c r="K105" i="10"/>
  <c r="I105" i="10" a="1"/>
  <c r="I105" i="10" s="1"/>
  <c r="I147" i="10" a="1"/>
  <c r="I147" i="10" s="1"/>
  <c r="J147" i="10" a="1"/>
  <c r="J147" i="10" s="1"/>
  <c r="K147" i="10"/>
  <c r="I154" i="10" a="1"/>
  <c r="I154" i="10" s="1"/>
  <c r="J154" i="10" a="1"/>
  <c r="J154" i="10" s="1"/>
  <c r="K154" i="10"/>
  <c r="K102" i="10"/>
  <c r="I159" i="10" a="1"/>
  <c r="I159" i="10" s="1"/>
  <c r="J159" i="10" a="1"/>
  <c r="J159" i="10" s="1"/>
  <c r="K159" i="10"/>
  <c r="J160" i="10" a="1"/>
  <c r="J160" i="10" s="1"/>
  <c r="K160" i="10"/>
  <c r="I160" i="10" a="1"/>
  <c r="I160" i="10" s="1"/>
  <c r="K162" i="10"/>
  <c r="I162" i="10" a="1"/>
  <c r="I162" i="10" s="1"/>
  <c r="J162" i="10" a="1"/>
  <c r="J162" i="10" s="1"/>
  <c r="J200" i="10" a="1"/>
  <c r="J200" i="10" s="1"/>
  <c r="I200" i="10" a="1"/>
  <c r="I200" i="10" s="1"/>
  <c r="K200" i="10"/>
  <c r="I189" i="10" a="1"/>
  <c r="I189" i="10" s="1"/>
  <c r="J189" i="10" a="1"/>
  <c r="J189" i="10" s="1"/>
  <c r="K189" i="10"/>
  <c r="J190" i="10" a="1"/>
  <c r="J190" i="10" s="1"/>
  <c r="I190" i="10" a="1"/>
  <c r="I190" i="10" s="1"/>
  <c r="K190" i="10"/>
  <c r="K107" i="10"/>
  <c r="I107" i="10" a="1"/>
  <c r="I107" i="10" s="1"/>
  <c r="J107" i="10" a="1"/>
  <c r="J107" i="10" s="1"/>
  <c r="I119" i="10" a="1"/>
  <c r="I119" i="10" s="1"/>
  <c r="J119" i="10" a="1"/>
  <c r="J119" i="10" s="1"/>
  <c r="K119" i="10"/>
  <c r="I117" i="10" a="1"/>
  <c r="I117" i="10" s="1"/>
  <c r="J117" i="10" a="1"/>
  <c r="J117" i="10" s="1"/>
  <c r="K117" i="10"/>
  <c r="I196" i="10" a="1"/>
  <c r="I196" i="10" s="1"/>
  <c r="J196" i="10" a="1"/>
  <c r="J196" i="10" s="1"/>
  <c r="K196" i="10"/>
  <c r="I149" i="10" a="1"/>
  <c r="I149" i="10" s="1"/>
  <c r="J149" i="10" a="1"/>
  <c r="J149" i="10" s="1"/>
  <c r="K149" i="10"/>
  <c r="I186" i="10" a="1"/>
  <c r="I186" i="10" s="1"/>
  <c r="J186" i="10" a="1"/>
  <c r="J186" i="10" s="1"/>
  <c r="K186" i="10"/>
  <c r="I115" i="10" a="1"/>
  <c r="I115" i="10" s="1"/>
  <c r="J115" i="10" a="1"/>
  <c r="J115" i="10" s="1"/>
  <c r="K115" i="10"/>
  <c r="K171" i="10"/>
  <c r="I171" i="10" a="1"/>
  <c r="I171" i="10" s="1"/>
  <c r="J171" i="10" a="1"/>
  <c r="J171" i="10" s="1"/>
  <c r="K139" i="10"/>
  <c r="I139" i="10" a="1"/>
  <c r="I139" i="10" s="1"/>
  <c r="J139" i="10" a="1"/>
  <c r="J139" i="10" s="1"/>
  <c r="I206" i="10" a="1"/>
  <c r="I206" i="10" s="1"/>
  <c r="J206" i="10" a="1"/>
  <c r="J206" i="10" s="1"/>
  <c r="K206" i="10"/>
  <c r="K146" i="10"/>
  <c r="I146" i="10" a="1"/>
  <c r="I146" i="10" s="1"/>
  <c r="J146" i="10" a="1"/>
  <c r="J146" i="10" s="1"/>
  <c r="I188" i="10" a="1"/>
  <c r="I188" i="10" s="1"/>
  <c r="J188" i="10" a="1"/>
  <c r="J188" i="10" s="1"/>
  <c r="K188" i="10"/>
  <c r="I116" i="10" a="1"/>
  <c r="I116" i="10" s="1"/>
  <c r="J116" i="10" a="1"/>
  <c r="J116" i="10" s="1"/>
  <c r="K116" i="10"/>
  <c r="I165" i="10" a="1"/>
  <c r="I165" i="10" s="1"/>
  <c r="J165" i="10" a="1"/>
  <c r="J165" i="10" s="1"/>
  <c r="K165" i="10"/>
  <c r="I120" i="10" a="1"/>
  <c r="I120" i="10" s="1"/>
  <c r="J120" i="10" a="1"/>
  <c r="J120" i="10" s="1"/>
  <c r="K120" i="10"/>
  <c r="J184" i="10" a="1"/>
  <c r="J184" i="10" s="1"/>
  <c r="I184" i="10" a="1"/>
  <c r="I184" i="10" s="1"/>
  <c r="K184" i="10"/>
  <c r="J153" i="10" a="1"/>
  <c r="J153" i="10" s="1"/>
  <c r="K153" i="10"/>
  <c r="I153" i="10" a="1"/>
  <c r="I153" i="10" s="1"/>
  <c r="I124" i="10" a="1"/>
  <c r="I124" i="10" s="1"/>
  <c r="J124" i="10" a="1"/>
  <c r="J124" i="10" s="1"/>
  <c r="K124" i="10"/>
  <c r="J137" i="10" a="1"/>
  <c r="J137" i="10" s="1"/>
  <c r="K137" i="10"/>
  <c r="I137" i="10" a="1"/>
  <c r="I137" i="10" s="1"/>
  <c r="I122" i="10" a="1"/>
  <c r="I122" i="10" s="1"/>
  <c r="J122" i="10" a="1"/>
  <c r="J122" i="10" s="1"/>
  <c r="K122" i="10"/>
  <c r="K203" i="10"/>
  <c r="I203" i="10" a="1"/>
  <c r="I203" i="10" s="1"/>
  <c r="J203" i="10" a="1"/>
  <c r="J203" i="10" s="1"/>
  <c r="J144" i="10" a="1"/>
  <c r="J144" i="10" s="1"/>
  <c r="K144" i="10"/>
  <c r="I144" i="10" a="1"/>
  <c r="I144" i="10" s="1"/>
  <c r="K194" i="10"/>
  <c r="I194" i="10" a="1"/>
  <c r="I194" i="10" s="1"/>
  <c r="J194" i="10" a="1"/>
  <c r="J194" i="10" s="1"/>
  <c r="J176" i="10" a="1"/>
  <c r="J176" i="10" s="1"/>
  <c r="K176" i="10"/>
  <c r="I176" i="10" a="1"/>
  <c r="I176" i="10" s="1"/>
  <c r="I142" i="10" a="1"/>
  <c r="I142" i="10" s="1"/>
  <c r="J142" i="10" a="1"/>
  <c r="J142" i="10" s="1"/>
  <c r="K142" i="10"/>
  <c r="I156" i="10" a="1"/>
  <c r="I156" i="10" s="1"/>
  <c r="J156" i="10" a="1"/>
  <c r="J156" i="10" s="1"/>
  <c r="K156" i="10"/>
  <c r="J169" i="10" a="1"/>
  <c r="J169" i="10" s="1"/>
  <c r="K169" i="10"/>
  <c r="I169" i="10" a="1"/>
  <c r="I169" i="10" s="1"/>
  <c r="I170" i="10" a="1"/>
  <c r="I170" i="10" s="1"/>
  <c r="J170" i="10" a="1"/>
  <c r="J170" i="10" s="1"/>
  <c r="K170" i="10"/>
  <c r="I113" i="10" a="1"/>
  <c r="I113" i="10" s="1"/>
  <c r="J113" i="10" a="1"/>
  <c r="J113" i="10" s="1"/>
  <c r="K113" i="10"/>
  <c r="E206" i="10"/>
  <c r="B12" i="10"/>
  <c r="H12" i="10"/>
  <c r="L26" i="10"/>
  <c r="J26" i="10"/>
  <c r="R21" i="10"/>
  <c r="R17" i="10"/>
  <c r="B29" i="10"/>
  <c r="B30" i="10" s="1"/>
  <c r="B32" i="10" s="1"/>
  <c r="Q12" i="10"/>
  <c r="L28" i="10"/>
  <c r="J28" i="10"/>
  <c r="L27" i="10"/>
  <c r="J27" i="10"/>
  <c r="B56" i="9"/>
  <c r="C56" i="9" s="1"/>
  <c r="D56" i="9" s="1"/>
  <c r="B11" i="9"/>
  <c r="B27" i="9"/>
  <c r="B12" i="9"/>
  <c r="B55" i="9" s="1"/>
  <c r="B60" i="9"/>
  <c r="C60" i="9" s="1"/>
  <c r="D60" i="9" s="1"/>
  <c r="B58" i="9"/>
  <c r="C58" i="9" s="1"/>
  <c r="D58" i="9" s="1"/>
  <c r="L13" i="9"/>
  <c r="C56" i="5"/>
  <c r="D56" i="5" s="1"/>
  <c r="B61" i="5"/>
  <c r="C61" i="5" s="1"/>
  <c r="D61" i="5" s="1"/>
  <c r="B21" i="5"/>
  <c r="B11" i="5"/>
  <c r="B12" i="5"/>
  <c r="B55" i="5" s="1"/>
  <c r="B62" i="5" s="1"/>
  <c r="C62" i="5" s="1"/>
  <c r="D62" i="5" s="1"/>
  <c r="C131" i="10" a="1"/>
  <c r="D128" i="10" a="1"/>
  <c r="D172" i="10" a="1"/>
  <c r="C103" i="10" a="1"/>
  <c r="D177" i="10" a="1"/>
  <c r="C158" i="10" a="1"/>
  <c r="C135" i="10" a="1"/>
  <c r="C146" i="10" a="1"/>
  <c r="C117" i="10" a="1"/>
  <c r="C71" i="10" a="1"/>
  <c r="D92" i="10" a="1"/>
  <c r="D66" i="10" a="1"/>
  <c r="C77" i="10" a="1"/>
  <c r="D43" i="10" a="1"/>
  <c r="C102" i="10" a="1"/>
  <c r="C52" i="10" a="1"/>
  <c r="C55" i="10" a="1"/>
  <c r="C201" i="10" a="1"/>
  <c r="D129" i="10" a="1"/>
  <c r="D147" i="10" a="1"/>
  <c r="D119" i="10" a="1"/>
  <c r="D67" i="10" a="1"/>
  <c r="D50" i="10" a="1"/>
  <c r="C75" i="10" a="1"/>
  <c r="D159" i="10" a="1"/>
  <c r="D193" i="10" a="1"/>
  <c r="D181" i="10" a="1"/>
  <c r="D118" i="10" a="1"/>
  <c r="C203" i="10" a="1"/>
  <c r="C151" i="10" a="1"/>
  <c r="C180" i="10" a="1"/>
  <c r="D175" i="10" a="1"/>
  <c r="D89" i="10" a="1"/>
  <c r="D125" i="10" a="1"/>
  <c r="D203" i="10" a="1"/>
  <c r="D205" i="10" a="1"/>
  <c r="D134" i="10" a="1"/>
  <c r="D84" i="10" a="1"/>
  <c r="D99" i="10" a="1"/>
  <c r="C160" i="10" a="1"/>
  <c r="C80" i="10" a="1"/>
  <c r="D82" i="10" a="1"/>
  <c r="D136" i="10" a="1"/>
  <c r="C159" i="10" a="1"/>
  <c r="D131" i="10" a="1"/>
  <c r="C173" i="10" a="1"/>
  <c r="C129" i="10" a="1"/>
  <c r="D103" i="10" a="1"/>
  <c r="C147" i="10" a="1"/>
  <c r="D158" i="10" a="1"/>
  <c r="C164" i="10" a="1"/>
  <c r="D151" i="10" a="1"/>
  <c r="C119" i="10" a="1"/>
  <c r="D135" i="10" a="1"/>
  <c r="D146" i="10" a="1"/>
  <c r="C175" i="10" a="1"/>
  <c r="D117" i="10" a="1"/>
  <c r="C72" i="10" a="1"/>
  <c r="D73" i="10" a="1"/>
  <c r="C78" i="10" a="1"/>
  <c r="D87" i="10" a="1"/>
  <c r="C94" i="10" a="1"/>
  <c r="D52" i="10" a="1"/>
  <c r="C85" i="10" a="1"/>
  <c r="D40" i="10" a="1"/>
  <c r="C142" i="10" a="1"/>
  <c r="C193" i="10" a="1"/>
  <c r="C128" i="10" a="1"/>
  <c r="C181" i="10" a="1"/>
  <c r="D176" i="10" a="1"/>
  <c r="C155" i="10" a="1"/>
  <c r="C165" i="10" a="1"/>
  <c r="D98" i="10" a="1"/>
  <c r="C70" i="10" a="1"/>
  <c r="C43" i="10" a="1"/>
  <c r="C61" i="10" a="1"/>
  <c r="D97" i="10" a="1"/>
  <c r="D142" i="10" a="1"/>
  <c r="C168" i="10" a="1"/>
  <c r="D201" i="10" a="1"/>
  <c r="D155" i="10" a="1"/>
  <c r="D165" i="10" a="1"/>
  <c r="C134" i="10" a="1"/>
  <c r="C92" i="10" a="1"/>
  <c r="C73" i="10" a="1"/>
  <c r="D59" i="10" a="1"/>
  <c r="C86" i="10" a="1"/>
  <c r="C89" i="10" a="1"/>
  <c r="C163" i="10" a="1"/>
  <c r="D144" i="10" a="1"/>
  <c r="D180" i="10" a="1"/>
  <c r="C140" i="10" a="1"/>
  <c r="C100" i="10" a="1"/>
  <c r="D60" i="10" a="1"/>
  <c r="D150" i="10" a="1"/>
  <c r="C171" i="10" a="1"/>
  <c r="D37" i="10" a="1"/>
  <c r="D69" i="10" a="1"/>
  <c r="D63" i="10" a="1"/>
  <c r="C176" i="10" a="1"/>
  <c r="C49" i="10" a="1"/>
  <c r="D160" i="10" a="1"/>
  <c r="D54" i="10" a="1"/>
  <c r="C170" i="10" a="1"/>
  <c r="D45" i="10" a="1"/>
  <c r="C40" i="10" a="1"/>
  <c r="C130" i="10" a="1"/>
  <c r="C150" i="10" a="1"/>
  <c r="D51" i="10" a="1"/>
  <c r="C54" i="10" a="1"/>
  <c r="D130" i="10" a="1"/>
  <c r="C104" i="10" a="1"/>
  <c r="C125" i="10" a="1"/>
  <c r="D168" i="10" a="1"/>
  <c r="D112" i="10" a="1"/>
  <c r="D163" i="10" a="1"/>
  <c r="D192" i="10" a="1"/>
  <c r="D104" i="10" a="1"/>
  <c r="D105" i="10" a="1"/>
  <c r="D195" i="10" a="1"/>
  <c r="C162" i="10" a="1"/>
  <c r="D204" i="10" a="1"/>
  <c r="C144" i="10" a="1"/>
  <c r="D171" i="10" a="1"/>
  <c r="C154" i="10" a="1"/>
  <c r="C81" i="10" a="1"/>
  <c r="C53" i="10" a="1"/>
  <c r="C112" i="10" a="1"/>
  <c r="C124" i="10" a="1"/>
  <c r="C195" i="10" a="1"/>
  <c r="D162" i="10" a="1"/>
  <c r="C197" i="10" a="1"/>
  <c r="D191" i="10" a="1"/>
  <c r="C188" i="10" a="1"/>
  <c r="C185" i="10" a="1"/>
  <c r="C167" i="10" a="1"/>
  <c r="C122" i="10" a="1"/>
  <c r="C178" i="10" a="1"/>
  <c r="D154" i="10" a="1"/>
  <c r="C57" i="10" a="1"/>
  <c r="D56" i="10" a="1"/>
  <c r="D55" i="10" a="1"/>
  <c r="C59" i="10" a="1"/>
  <c r="C47" i="10" a="1"/>
  <c r="C90" i="10" a="1"/>
  <c r="D88" i="10" a="1"/>
  <c r="C44" i="10" a="1"/>
  <c r="D48" i="10" a="1"/>
  <c r="C192" i="10" a="1"/>
  <c r="C166" i="10" a="1"/>
  <c r="D169" i="10" a="1"/>
  <c r="C105" i="10" a="1"/>
  <c r="D137" i="10" a="1"/>
  <c r="D124" i="10" a="1"/>
  <c r="C191" i="10" a="1"/>
  <c r="C174" i="10" a="1"/>
  <c r="D188" i="10" a="1"/>
  <c r="D185" i="10" a="1"/>
  <c r="C184" i="10" a="1"/>
  <c r="C123" i="10" a="1"/>
  <c r="D122" i="10" a="1"/>
  <c r="D178" i="10" a="1"/>
  <c r="D148" i="10" a="1"/>
  <c r="C114" i="10" a="1"/>
  <c r="D71" i="10" a="1"/>
  <c r="D101" i="10" a="1"/>
  <c r="C99" i="10" a="1"/>
  <c r="D42" i="10" a="1"/>
  <c r="D47" i="10" a="1"/>
  <c r="C58" i="10" a="1"/>
  <c r="D39" i="10" a="1"/>
  <c r="D78" i="10" a="1"/>
  <c r="C79" i="10" a="1"/>
  <c r="C138" i="10" a="1"/>
  <c r="D194" i="10" a="1"/>
  <c r="C141" i="10" a="1"/>
  <c r="C111" i="10" a="1"/>
  <c r="C76" i="10" a="1"/>
  <c r="D96" i="10" a="1"/>
  <c r="D41" i="10" a="1"/>
  <c r="C46" i="10" a="1"/>
  <c r="D80" i="10" a="1"/>
  <c r="D53" i="10" a="1"/>
  <c r="C152" i="10" a="1"/>
  <c r="C62" i="10" a="1"/>
  <c r="D121" i="10" a="1"/>
  <c r="C106" i="10" a="1"/>
  <c r="D166" i="10" a="1"/>
  <c r="C169" i="10" a="1"/>
  <c r="D109" i="10" a="1"/>
  <c r="C156" i="10" a="1"/>
  <c r="D152" i="10" a="1"/>
  <c r="D197" i="10" a="1"/>
  <c r="C161" i="10" a="1"/>
  <c r="D174" i="10" a="1"/>
  <c r="C182" i="10" a="1"/>
  <c r="D123" i="10" a="1"/>
  <c r="C206" i="10" a="1"/>
  <c r="D114" i="10" a="1"/>
  <c r="C187" i="10" a="1"/>
  <c r="C48" i="10" a="1"/>
  <c r="C83" i="10" a="1"/>
  <c r="C67" i="10" a="1"/>
  <c r="D91" i="10" a="1"/>
  <c r="C37" i="10" a="1"/>
  <c r="D86" i="10" a="1"/>
  <c r="D79" i="10" a="1"/>
  <c r="C63" i="10" a="1"/>
  <c r="C132" i="10" a="1"/>
  <c r="D199" i="10" a="1"/>
  <c r="D141" i="10" a="1"/>
  <c r="D126" i="10" a="1"/>
  <c r="D206" i="10" a="1"/>
  <c r="C139" i="10" a="1"/>
  <c r="C66" i="10" a="1"/>
  <c r="D49" i="10" a="1"/>
  <c r="D75" i="10" a="1"/>
  <c r="D107" i="10" a="1"/>
  <c r="D108" i="10" a="1"/>
  <c r="D133" i="10" a="1"/>
  <c r="D139" i="10" a="1"/>
  <c r="D64" i="10" a="1"/>
  <c r="C97" i="10" a="1"/>
  <c r="D76" i="10" a="1"/>
  <c r="D46" i="10" a="1"/>
  <c r="D153" i="10" a="1"/>
  <c r="C143" i="10" a="1"/>
  <c r="C186" i="10" a="1"/>
  <c r="D72" i="10" a="1"/>
  <c r="D93" i="10" a="1"/>
  <c r="D65" i="10" a="1"/>
  <c r="C68" i="10" a="1"/>
  <c r="C82" i="10" a="1"/>
  <c r="D170" i="10" a="1"/>
  <c r="C93" i="10" a="1"/>
  <c r="D74" i="10" a="1"/>
  <c r="D106" i="10" a="1"/>
  <c r="D132" i="10" a="1"/>
  <c r="C137" i="10" a="1"/>
  <c r="D156" i="10" a="1"/>
  <c r="C202" i="10" a="1"/>
  <c r="D161" i="10" a="1"/>
  <c r="C190" i="10" a="1"/>
  <c r="D182" i="10" a="1"/>
  <c r="D184" i="10" a="1"/>
  <c r="C126" i="10" a="1"/>
  <c r="C145" i="10" a="1"/>
  <c r="C148" i="10" a="1"/>
  <c r="D81" i="10" a="1"/>
  <c r="C38" i="10" a="1"/>
  <c r="D70" i="10" a="1"/>
  <c r="C42" i="10" a="1"/>
  <c r="C91" i="10" a="1"/>
  <c r="C74" i="10" a="1"/>
  <c r="C95" i="10" a="1"/>
  <c r="D85" i="10" a="1"/>
  <c r="C127" i="10" a="1"/>
  <c r="C109" i="10" a="1"/>
  <c r="D202" i="10" a="1"/>
  <c r="D190" i="10" a="1"/>
  <c r="C108" i="10" a="1"/>
  <c r="D145" i="10" a="1"/>
  <c r="C133" i="10" a="1"/>
  <c r="D187" i="10" a="1"/>
  <c r="D62" i="10" a="1"/>
  <c r="C60" i="10" a="1"/>
  <c r="D100" i="10" a="1"/>
  <c r="C69" i="10" a="1"/>
  <c r="C39" i="10" a="1"/>
  <c r="C120" i="10" a="1"/>
  <c r="D183" i="10" a="1"/>
  <c r="C110" i="10" a="1"/>
  <c r="C113" i="10" a="1"/>
  <c r="D94" i="10" a="1"/>
  <c r="C88" i="10" a="1"/>
  <c r="D127" i="10" a="1"/>
  <c r="C183" i="10" a="1"/>
  <c r="D110" i="10" a="1"/>
  <c r="C198" i="10" a="1"/>
  <c r="D113" i="10" a="1"/>
  <c r="C98" i="10" a="1"/>
  <c r="D95" i="10" a="1"/>
  <c r="D90" i="10" a="1"/>
  <c r="C56" i="10" a="1"/>
  <c r="C41" i="10" a="1"/>
  <c r="C50" i="10" a="1"/>
  <c r="C204" i="10" a="1"/>
  <c r="D167" i="10" a="1"/>
  <c r="D77" i="10" a="1"/>
  <c r="C87" i="10" a="1"/>
  <c r="C107" i="10" a="1"/>
  <c r="C199" i="10" a="1"/>
  <c r="D57" i="10" a="1"/>
  <c r="C194" i="10" a="1"/>
  <c r="C205" i="10" a="1"/>
  <c r="D120" i="10" a="1"/>
  <c r="C196" i="10" a="1"/>
  <c r="C116" i="10" a="1"/>
  <c r="C153" i="10" a="1"/>
  <c r="C115" i="10" a="1"/>
  <c r="D138" i="10" a="1"/>
  <c r="C200" i="10" a="1"/>
  <c r="D157" i="10" a="1"/>
  <c r="D198" i="10" a="1"/>
  <c r="D189" i="10" a="1"/>
  <c r="C179" i="10" a="1"/>
  <c r="C149" i="10" a="1"/>
  <c r="D186" i="10" a="1"/>
  <c r="C51" i="10" a="1"/>
  <c r="C64" i="10" a="1"/>
  <c r="C96" i="10" a="1"/>
  <c r="C45" i="10" a="1"/>
  <c r="D68" i="10" a="1"/>
  <c r="D38" i="10" a="1"/>
  <c r="D58" i="10" a="1"/>
  <c r="C65" i="10" a="1"/>
  <c r="C136" i="10" a="1"/>
  <c r="D116" i="10" a="1"/>
  <c r="D173" i="10" a="1"/>
  <c r="D115" i="10" a="1"/>
  <c r="C172" i="10" a="1"/>
  <c r="D143" i="10" a="1"/>
  <c r="C177" i="10" a="1"/>
  <c r="C157" i="10" a="1"/>
  <c r="D164" i="10" a="1"/>
  <c r="C189" i="10" a="1"/>
  <c r="D179" i="10" a="1"/>
  <c r="D149" i="10" a="1"/>
  <c r="C101" i="10" a="1"/>
  <c r="D102" i="10" a="1"/>
  <c r="C118" i="10" a="1"/>
  <c r="D140" i="10" a="1"/>
  <c r="D44" i="10" a="1"/>
  <c r="D61" i="10" a="1"/>
  <c r="D196" i="10" a="1"/>
  <c r="D200" i="10" a="1"/>
  <c r="C121" i="10" a="1"/>
  <c r="D111" i="10" a="1"/>
  <c r="C84" i="10" a="1"/>
  <c r="D83" i="10" a="1"/>
  <c r="J67" i="10" a="1"/>
  <c r="J53" i="10" a="1"/>
  <c r="J92" i="10" a="1"/>
  <c r="J52" i="10" a="1"/>
  <c r="I49" i="10" a="1"/>
  <c r="J88" i="10" a="1"/>
  <c r="J37" i="10" a="1"/>
  <c r="J62" i="10" a="1"/>
  <c r="J74" i="10" a="1"/>
  <c r="I53" i="10" a="1"/>
  <c r="I45" i="10" a="1"/>
  <c r="J57" i="10" a="1"/>
  <c r="J39" i="10" a="1"/>
  <c r="J78" i="10" a="1"/>
  <c r="I74" i="10" a="1"/>
  <c r="J49" i="10" a="1"/>
  <c r="I72" i="10" a="1"/>
  <c r="J98" i="10" a="1"/>
  <c r="J77" i="10" a="1"/>
  <c r="J66" i="10" a="1"/>
  <c r="J51" i="10" a="1"/>
  <c r="J70" i="10" a="1"/>
  <c r="J50" i="10" a="1"/>
  <c r="I38" i="10" a="1"/>
  <c r="I51" i="10" a="1"/>
  <c r="J44" i="10" a="1"/>
  <c r="J102" i="10" a="1"/>
  <c r="J60" i="10" a="1"/>
  <c r="I58" i="10" a="1"/>
  <c r="J40" i="10" a="1"/>
  <c r="I63" i="10" a="1"/>
  <c r="I76" i="10" a="1"/>
  <c r="I56" i="10" a="1"/>
  <c r="J71" i="10" a="1"/>
  <c r="J85" i="10" a="1"/>
  <c r="J79" i="10" a="1"/>
  <c r="J48" i="10" a="1"/>
  <c r="J56" i="10" a="1"/>
  <c r="I69" i="10" a="1"/>
  <c r="J61" i="10" a="1"/>
  <c r="I62" i="10" a="1"/>
  <c r="J41" i="10" a="1"/>
  <c r="I55" i="10" a="1"/>
  <c r="I44" i="10" a="1"/>
  <c r="J97" i="10" a="1"/>
  <c r="I47" i="10" a="1"/>
  <c r="J64" i="10" a="1"/>
  <c r="J99" i="10" a="1"/>
  <c r="J38" i="10" a="1"/>
  <c r="J83" i="10" a="1"/>
  <c r="J75" i="10" a="1"/>
  <c r="I67" i="10" a="1"/>
  <c r="J46" i="10" a="1"/>
  <c r="J69" i="10" a="1"/>
  <c r="J59" i="10" a="1"/>
  <c r="I59" i="10" a="1"/>
  <c r="J58" i="10" a="1"/>
  <c r="I61" i="10" a="1"/>
  <c r="I71" i="10" a="1"/>
  <c r="J86" i="10" a="1"/>
  <c r="J72" i="10" a="1"/>
  <c r="I46" i="10" a="1"/>
  <c r="J54" i="10" a="1"/>
  <c r="I54" i="10" a="1"/>
  <c r="I64" i="10" a="1"/>
  <c r="I70" i="10" a="1"/>
  <c r="J90" i="10" a="1"/>
  <c r="J73" i="10" a="1"/>
  <c r="J45" i="10" a="1"/>
  <c r="I60" i="10" a="1"/>
  <c r="J91" i="10" a="1"/>
  <c r="J42" i="10" a="1"/>
  <c r="I73" i="10" a="1"/>
  <c r="J95" i="10" a="1"/>
  <c r="J84" i="10" a="1"/>
  <c r="J96" i="10" a="1"/>
  <c r="I50" i="10" a="1"/>
  <c r="J63" i="10" a="1"/>
  <c r="I42" i="10" a="1"/>
  <c r="J93" i="10" a="1"/>
  <c r="J101" i="10" a="1"/>
  <c r="I65" i="10" a="1"/>
  <c r="J81" i="10" a="1"/>
  <c r="I52" i="10" a="1"/>
  <c r="I66" i="10" a="1"/>
  <c r="I68" i="10" a="1"/>
  <c r="J47" i="10" a="1"/>
  <c r="J43" i="10" a="1"/>
  <c r="J68" i="10" a="1"/>
  <c r="J55" i="10" a="1"/>
  <c r="J82" i="10" a="1"/>
  <c r="J87" i="10" a="1"/>
  <c r="I40" i="10" a="1"/>
  <c r="I43" i="10" a="1"/>
  <c r="I39" i="10" a="1"/>
  <c r="I57" i="10" a="1"/>
  <c r="J89" i="10" a="1"/>
  <c r="J100" i="10" a="1"/>
  <c r="J80" i="10" a="1"/>
  <c r="J65" i="10" a="1"/>
  <c r="I75" i="10" a="1"/>
  <c r="J94" i="10" a="1"/>
  <c r="I37" i="10" a="1"/>
  <c r="I48" i="10" a="1"/>
  <c r="J76" i="10" a="1"/>
  <c r="I41" i="10" a="1"/>
  <c r="K44" i="16" l="1"/>
  <c r="K51" i="16"/>
  <c r="K65" i="16"/>
  <c r="K58" i="16"/>
  <c r="K60" i="16"/>
  <c r="K48" i="16"/>
  <c r="D111" i="10"/>
  <c r="C121" i="10"/>
  <c r="D200" i="10"/>
  <c r="D196" i="10"/>
  <c r="D140" i="10"/>
  <c r="C118" i="10"/>
  <c r="D149" i="10"/>
  <c r="D179" i="10"/>
  <c r="C189" i="10"/>
  <c r="D164" i="10"/>
  <c r="C157" i="10"/>
  <c r="C177" i="10"/>
  <c r="D143" i="10"/>
  <c r="C172" i="10"/>
  <c r="D115" i="10"/>
  <c r="D173" i="10"/>
  <c r="E172" i="10" s="1"/>
  <c r="D116" i="10"/>
  <c r="E115" i="10" s="1"/>
  <c r="C136" i="10"/>
  <c r="D186" i="10"/>
  <c r="C149" i="10"/>
  <c r="C179" i="10"/>
  <c r="D189" i="10"/>
  <c r="E188" i="10" s="1"/>
  <c r="D198" i="10"/>
  <c r="D157" i="10"/>
  <c r="E156" i="10" s="1"/>
  <c r="C200" i="10"/>
  <c r="D138" i="10"/>
  <c r="C115" i="10"/>
  <c r="C153" i="10"/>
  <c r="C116" i="10"/>
  <c r="C196" i="10"/>
  <c r="D120" i="10"/>
  <c r="C205" i="10"/>
  <c r="C194" i="10"/>
  <c r="C199" i="10"/>
  <c r="C107" i="10"/>
  <c r="D167" i="10"/>
  <c r="C204" i="10"/>
  <c r="D113" i="10"/>
  <c r="E112" i="10" s="1"/>
  <c r="C198" i="10"/>
  <c r="D110" i="10"/>
  <c r="E109" i="10" s="1"/>
  <c r="C183" i="10"/>
  <c r="D127" i="10"/>
  <c r="C113" i="10"/>
  <c r="C110" i="10"/>
  <c r="D183" i="10"/>
  <c r="E182" i="10" s="1"/>
  <c r="C120" i="10"/>
  <c r="D187" i="10"/>
  <c r="E186" i="10" s="1"/>
  <c r="C133" i="10"/>
  <c r="D145" i="10"/>
  <c r="E144" i="10" s="1"/>
  <c r="C108" i="10"/>
  <c r="D190" i="10"/>
  <c r="D202" i="10"/>
  <c r="C109" i="10"/>
  <c r="C127" i="10"/>
  <c r="C148" i="10"/>
  <c r="C145" i="10"/>
  <c r="C126" i="10"/>
  <c r="D184" i="10"/>
  <c r="D182" i="10"/>
  <c r="C190" i="10"/>
  <c r="D161" i="10"/>
  <c r="E160" i="10" s="1"/>
  <c r="C202" i="10"/>
  <c r="D156" i="10"/>
  <c r="C137" i="10"/>
  <c r="D132" i="10"/>
  <c r="E131" i="10" s="1"/>
  <c r="D106" i="10"/>
  <c r="D170" i="10"/>
  <c r="C186" i="10"/>
  <c r="C143" i="10"/>
  <c r="D153" i="10"/>
  <c r="E152" i="10" s="1"/>
  <c r="D139" i="10"/>
  <c r="E138" i="10" s="1"/>
  <c r="D133" i="10"/>
  <c r="E132" i="10" s="1"/>
  <c r="D108" i="10"/>
  <c r="E107" i="10" s="1"/>
  <c r="D107" i="10"/>
  <c r="C139" i="10"/>
  <c r="D206" i="10"/>
  <c r="D126" i="10"/>
  <c r="E125" i="10" s="1"/>
  <c r="D141" i="10"/>
  <c r="E140" i="10" s="1"/>
  <c r="D199" i="10"/>
  <c r="C132" i="10"/>
  <c r="C187" i="10"/>
  <c r="D114" i="10"/>
  <c r="C206" i="10"/>
  <c r="D123" i="10"/>
  <c r="C182" i="10"/>
  <c r="D174" i="10"/>
  <c r="C161" i="10"/>
  <c r="D197" i="10"/>
  <c r="E196" i="10" s="1"/>
  <c r="D152" i="10"/>
  <c r="C156" i="10"/>
  <c r="D109" i="10"/>
  <c r="E108" i="10" s="1"/>
  <c r="C169" i="10"/>
  <c r="D166" i="10"/>
  <c r="E165" i="10" s="1"/>
  <c r="C106" i="10"/>
  <c r="D121" i="10"/>
  <c r="E120" i="10" s="1"/>
  <c r="C152" i="10"/>
  <c r="C111" i="10"/>
  <c r="C141" i="10"/>
  <c r="D194" i="10"/>
  <c r="C138" i="10"/>
  <c r="C114" i="10"/>
  <c r="D148" i="10"/>
  <c r="E147" i="10" s="1"/>
  <c r="D178" i="10"/>
  <c r="E177" i="10" s="1"/>
  <c r="D122" i="10"/>
  <c r="E121" i="10" s="1"/>
  <c r="C123" i="10"/>
  <c r="C184" i="10"/>
  <c r="D185" i="10"/>
  <c r="E184" i="10" s="1"/>
  <c r="D188" i="10"/>
  <c r="E187" i="10" s="1"/>
  <c r="C174" i="10"/>
  <c r="C191" i="10"/>
  <c r="D124" i="10"/>
  <c r="E123" i="10" s="1"/>
  <c r="D137" i="10"/>
  <c r="C105" i="10"/>
  <c r="D169" i="10"/>
  <c r="E168" i="10" s="1"/>
  <c r="C166" i="10"/>
  <c r="C192" i="10"/>
  <c r="D154" i="10"/>
  <c r="C178" i="10"/>
  <c r="C122" i="10"/>
  <c r="C167" i="10"/>
  <c r="C185" i="10"/>
  <c r="C188" i="10"/>
  <c r="D191" i="10"/>
  <c r="E190" i="10" s="1"/>
  <c r="C197" i="10"/>
  <c r="D162" i="10"/>
  <c r="E161" i="10" s="1"/>
  <c r="C195" i="10"/>
  <c r="C124" i="10"/>
  <c r="C112" i="10"/>
  <c r="C154" i="10"/>
  <c r="D171" i="10"/>
  <c r="E170" i="10" s="1"/>
  <c r="C144" i="10"/>
  <c r="D204" i="10"/>
  <c r="E203" i="10" s="1"/>
  <c r="C162" i="10"/>
  <c r="D195" i="10"/>
  <c r="E194" i="10" s="1"/>
  <c r="D105" i="10"/>
  <c r="D104" i="10"/>
  <c r="E103" i="10" s="1"/>
  <c r="D192" i="10"/>
  <c r="E191" i="10" s="1"/>
  <c r="D163" i="10"/>
  <c r="D112" i="10"/>
  <c r="E111" i="10" s="1"/>
  <c r="D168" i="10"/>
  <c r="E167" i="10" s="1"/>
  <c r="C125" i="10"/>
  <c r="C104" i="10"/>
  <c r="D130" i="10"/>
  <c r="C150" i="10"/>
  <c r="C130" i="10"/>
  <c r="C170" i="10"/>
  <c r="D160" i="10"/>
  <c r="C176" i="10"/>
  <c r="C171" i="10"/>
  <c r="D150" i="10"/>
  <c r="E149" i="10" s="1"/>
  <c r="C140" i="10"/>
  <c r="D180" i="10"/>
  <c r="E179" i="10" s="1"/>
  <c r="D144" i="10"/>
  <c r="E143" i="10" s="1"/>
  <c r="C163" i="10"/>
  <c r="C134" i="10"/>
  <c r="D165" i="10"/>
  <c r="E164" i="10" s="1"/>
  <c r="D155" i="10"/>
  <c r="E154" i="10" s="1"/>
  <c r="D201" i="10"/>
  <c r="E200" i="10" s="1"/>
  <c r="C168" i="10"/>
  <c r="D142" i="10"/>
  <c r="E141" i="10" s="1"/>
  <c r="C165" i="10"/>
  <c r="C155" i="10"/>
  <c r="D176" i="10"/>
  <c r="C181" i="10"/>
  <c r="C128" i="10"/>
  <c r="C193" i="10"/>
  <c r="C142" i="10"/>
  <c r="D117" i="10"/>
  <c r="E116" i="10" s="1"/>
  <c r="C175" i="10"/>
  <c r="D146" i="10"/>
  <c r="D135" i="10"/>
  <c r="C119" i="10"/>
  <c r="D151" i="10"/>
  <c r="E150" i="10" s="1"/>
  <c r="C164" i="10"/>
  <c r="D158" i="10"/>
  <c r="E157" i="10" s="1"/>
  <c r="C147" i="10"/>
  <c r="D103" i="10"/>
  <c r="E102" i="10" s="1"/>
  <c r="C129" i="10"/>
  <c r="C173" i="10"/>
  <c r="D131" i="10"/>
  <c r="E130" i="10" s="1"/>
  <c r="C159" i="10"/>
  <c r="D136" i="10"/>
  <c r="E135" i="10" s="1"/>
  <c r="C160" i="10"/>
  <c r="D134" i="10"/>
  <c r="E133" i="10" s="1"/>
  <c r="D205" i="10"/>
  <c r="E204" i="10" s="1"/>
  <c r="D203" i="10"/>
  <c r="E202" i="10" s="1"/>
  <c r="D125" i="10"/>
  <c r="E124" i="10" s="1"/>
  <c r="D175" i="10"/>
  <c r="C180" i="10"/>
  <c r="C151" i="10"/>
  <c r="C203" i="10"/>
  <c r="D118" i="10"/>
  <c r="E117" i="10" s="1"/>
  <c r="D181" i="10"/>
  <c r="D193" i="10"/>
  <c r="E192" i="10" s="1"/>
  <c r="D159" i="10"/>
  <c r="D119" i="10"/>
  <c r="D147" i="10"/>
  <c r="E146" i="10" s="1"/>
  <c r="D129" i="10"/>
  <c r="E128" i="10" s="1"/>
  <c r="C201" i="10"/>
  <c r="C117" i="10"/>
  <c r="C146" i="10"/>
  <c r="C135" i="10"/>
  <c r="C158" i="10"/>
  <c r="D177" i="10"/>
  <c r="E176" i="10" s="1"/>
  <c r="C103" i="10"/>
  <c r="D172" i="10"/>
  <c r="E171" i="10" s="1"/>
  <c r="D128" i="10"/>
  <c r="E127" i="10" s="1"/>
  <c r="C131" i="10"/>
  <c r="K75" i="16"/>
  <c r="K63" i="16"/>
  <c r="K73" i="16"/>
  <c r="K68" i="16"/>
  <c r="K66" i="16"/>
  <c r="K46" i="16"/>
  <c r="K67" i="16"/>
  <c r="K71" i="16"/>
  <c r="K42" i="16"/>
  <c r="K55" i="16"/>
  <c r="K59" i="16"/>
  <c r="K49" i="16"/>
  <c r="K70" i="16"/>
  <c r="K62" i="16"/>
  <c r="K40" i="16"/>
  <c r="K57" i="16"/>
  <c r="B32" i="16"/>
  <c r="B31" i="16"/>
  <c r="K37" i="16"/>
  <c r="B16" i="16"/>
  <c r="Q14" i="16"/>
  <c r="H19" i="16"/>
  <c r="I19" i="16" s="1"/>
  <c r="J19" i="16" s="1"/>
  <c r="H16" i="16"/>
  <c r="B19" i="16"/>
  <c r="C19" i="16" s="1"/>
  <c r="D19" i="16" s="1"/>
  <c r="H17" i="16"/>
  <c r="I17" i="16" s="1"/>
  <c r="J17" i="16" s="1"/>
  <c r="B17" i="16"/>
  <c r="C17" i="16" s="1"/>
  <c r="D17" i="16" s="1"/>
  <c r="K52" i="16"/>
  <c r="K69" i="16"/>
  <c r="K41" i="16"/>
  <c r="K45" i="16"/>
  <c r="K72" i="16"/>
  <c r="K47" i="16"/>
  <c r="K54" i="16"/>
  <c r="K56" i="16"/>
  <c r="K64" i="16"/>
  <c r="K38" i="16"/>
  <c r="K74" i="16"/>
  <c r="K53" i="16"/>
  <c r="K39" i="16"/>
  <c r="K61" i="16"/>
  <c r="K43" i="16"/>
  <c r="H16" i="10"/>
  <c r="H20" i="10" s="1"/>
  <c r="I20" i="10" s="1"/>
  <c r="J20" i="10" s="1"/>
  <c r="B16" i="10"/>
  <c r="D48" i="10"/>
  <c r="D82" i="10"/>
  <c r="D57" i="10"/>
  <c r="C50" i="10"/>
  <c r="D63" i="10"/>
  <c r="D97" i="10"/>
  <c r="D40" i="10"/>
  <c r="C55" i="10"/>
  <c r="C82" i="10"/>
  <c r="C65" i="10"/>
  <c r="D65" i="10"/>
  <c r="D46" i="10"/>
  <c r="D75" i="10"/>
  <c r="E74" i="10" s="1"/>
  <c r="D85" i="10"/>
  <c r="C63" i="10"/>
  <c r="D39" i="10"/>
  <c r="C44" i="10"/>
  <c r="C53" i="10"/>
  <c r="D53" i="10"/>
  <c r="C46" i="10"/>
  <c r="C89" i="10"/>
  <c r="C75" i="10"/>
  <c r="C85" i="10"/>
  <c r="C52" i="10"/>
  <c r="D102" i="10"/>
  <c r="D58" i="10"/>
  <c r="D96" i="10"/>
  <c r="C79" i="10"/>
  <c r="C39" i="10"/>
  <c r="C95" i="10"/>
  <c r="D79" i="10"/>
  <c r="C58" i="10"/>
  <c r="D88" i="10"/>
  <c r="D74" i="10"/>
  <c r="D44" i="10"/>
  <c r="E43" i="10" s="1"/>
  <c r="D60" i="10"/>
  <c r="D89" i="10"/>
  <c r="E88" i="10" s="1"/>
  <c r="C61" i="10"/>
  <c r="D52" i="10"/>
  <c r="C102" i="10"/>
  <c r="C41" i="10"/>
  <c r="D38" i="10"/>
  <c r="D90" i="10"/>
  <c r="C88" i="10"/>
  <c r="D49" i="10"/>
  <c r="E48" i="10" s="1"/>
  <c r="C74" i="10"/>
  <c r="D86" i="10"/>
  <c r="E85" i="10" s="1"/>
  <c r="D47" i="10"/>
  <c r="C90" i="10"/>
  <c r="D69" i="10"/>
  <c r="D37" i="10"/>
  <c r="C49" i="10"/>
  <c r="C86" i="10"/>
  <c r="D50" i="10"/>
  <c r="C94" i="10"/>
  <c r="D43" i="10"/>
  <c r="D41" i="10"/>
  <c r="D68" i="10"/>
  <c r="D93" i="10"/>
  <c r="E92" i="10" s="1"/>
  <c r="D76" i="10"/>
  <c r="C69" i="10"/>
  <c r="C91" i="10"/>
  <c r="C37" i="10"/>
  <c r="D42" i="10"/>
  <c r="C47" i="10"/>
  <c r="D61" i="10"/>
  <c r="C93" i="10"/>
  <c r="D99" i="10"/>
  <c r="D59" i="10"/>
  <c r="E58" i="10" s="1"/>
  <c r="C43" i="10"/>
  <c r="D87" i="10"/>
  <c r="C77" i="10"/>
  <c r="C68" i="10"/>
  <c r="C45" i="10"/>
  <c r="C76" i="10"/>
  <c r="D78" i="10"/>
  <c r="C66" i="10"/>
  <c r="C42" i="10"/>
  <c r="D91" i="10"/>
  <c r="C99" i="10"/>
  <c r="C59" i="10"/>
  <c r="C87" i="10"/>
  <c r="D77" i="10"/>
  <c r="D45" i="10"/>
  <c r="C73" i="10"/>
  <c r="D67" i="10"/>
  <c r="C78" i="10"/>
  <c r="D66" i="10"/>
  <c r="C84" i="10"/>
  <c r="C96" i="10"/>
  <c r="D95" i="10"/>
  <c r="D94" i="10"/>
  <c r="D100" i="10"/>
  <c r="D70" i="10"/>
  <c r="C67" i="10"/>
  <c r="D101" i="10"/>
  <c r="D55" i="10"/>
  <c r="C40" i="10"/>
  <c r="D83" i="10"/>
  <c r="E82" i="10" s="1"/>
  <c r="C100" i="10"/>
  <c r="D54" i="10"/>
  <c r="E53" i="10" s="1"/>
  <c r="C70" i="10"/>
  <c r="D73" i="10"/>
  <c r="D92" i="10"/>
  <c r="C101" i="10"/>
  <c r="C64" i="10"/>
  <c r="D72" i="10"/>
  <c r="C97" i="10"/>
  <c r="C60" i="10"/>
  <c r="C38" i="10"/>
  <c r="C83" i="10"/>
  <c r="D71" i="10"/>
  <c r="D56" i="10"/>
  <c r="E55" i="10" s="1"/>
  <c r="C54" i="10"/>
  <c r="C80" i="10"/>
  <c r="D51" i="10"/>
  <c r="C92" i="10"/>
  <c r="D98" i="10"/>
  <c r="E97" i="10" s="1"/>
  <c r="C72" i="10"/>
  <c r="C71" i="10"/>
  <c r="C56" i="10"/>
  <c r="C51" i="10"/>
  <c r="C98" i="10"/>
  <c r="D64" i="10"/>
  <c r="D62" i="10"/>
  <c r="E61" i="10" s="1"/>
  <c r="D81" i="10"/>
  <c r="C48" i="10"/>
  <c r="C62" i="10"/>
  <c r="C57" i="10"/>
  <c r="C81" i="10"/>
  <c r="D80" i="10"/>
  <c r="D84" i="10"/>
  <c r="I38" i="10"/>
  <c r="J55" i="10"/>
  <c r="J37" i="10"/>
  <c r="J101" i="10"/>
  <c r="J49" i="10"/>
  <c r="I55" i="10"/>
  <c r="I37" i="10"/>
  <c r="J63" i="10"/>
  <c r="J96" i="10"/>
  <c r="J44" i="10"/>
  <c r="I49" i="10"/>
  <c r="J83" i="10"/>
  <c r="I63" i="10"/>
  <c r="I64" i="10"/>
  <c r="I73" i="10"/>
  <c r="I44" i="10"/>
  <c r="J39" i="10"/>
  <c r="J54" i="10"/>
  <c r="J68" i="10"/>
  <c r="J88" i="10"/>
  <c r="I41" i="10"/>
  <c r="J38" i="10"/>
  <c r="I39" i="10"/>
  <c r="J52" i="10"/>
  <c r="I54" i="10"/>
  <c r="J62" i="10"/>
  <c r="I68" i="10"/>
  <c r="J64" i="10"/>
  <c r="J77" i="10"/>
  <c r="J65" i="10"/>
  <c r="J73" i="10"/>
  <c r="J53" i="10"/>
  <c r="J67" i="10"/>
  <c r="I52" i="10"/>
  <c r="I48" i="10"/>
  <c r="J99" i="10"/>
  <c r="I62" i="10"/>
  <c r="J41" i="10"/>
  <c r="I65" i="10"/>
  <c r="I53" i="10"/>
  <c r="J93" i="10"/>
  <c r="I67" i="10"/>
  <c r="J95" i="10"/>
  <c r="J61" i="10"/>
  <c r="I42" i="10"/>
  <c r="J87" i="10"/>
  <c r="J46" i="10"/>
  <c r="J48" i="10"/>
  <c r="J80" i="10"/>
  <c r="I61" i="10"/>
  <c r="I57" i="10"/>
  <c r="J94" i="10"/>
  <c r="J85" i="10"/>
  <c r="J71" i="10"/>
  <c r="I46" i="10"/>
  <c r="J60" i="10"/>
  <c r="J74" i="10"/>
  <c r="I71" i="10"/>
  <c r="I60" i="10"/>
  <c r="J70" i="10"/>
  <c r="I74" i="10"/>
  <c r="J45" i="10"/>
  <c r="J57" i="10"/>
  <c r="J79" i="10"/>
  <c r="J76" i="10"/>
  <c r="I70" i="10"/>
  <c r="J43" i="10"/>
  <c r="J69" i="10"/>
  <c r="I45" i="10"/>
  <c r="I76" i="10"/>
  <c r="J86" i="10"/>
  <c r="I43" i="10"/>
  <c r="I69" i="10"/>
  <c r="J50" i="10"/>
  <c r="J81" i="10"/>
  <c r="J51" i="10"/>
  <c r="J92" i="10"/>
  <c r="J47" i="10"/>
  <c r="J97" i="10"/>
  <c r="J89" i="10"/>
  <c r="J100" i="10"/>
  <c r="J75" i="10"/>
  <c r="I50" i="10"/>
  <c r="I56" i="10"/>
  <c r="J58" i="10"/>
  <c r="I51" i="10"/>
  <c r="J91" i="10"/>
  <c r="I47" i="10"/>
  <c r="J40" i="10"/>
  <c r="J78" i="10"/>
  <c r="J59" i="10"/>
  <c r="J66" i="10"/>
  <c r="I75" i="10"/>
  <c r="J72" i="10"/>
  <c r="J56" i="10"/>
  <c r="I58" i="10"/>
  <c r="J82" i="10"/>
  <c r="J102" i="10"/>
  <c r="J84" i="10"/>
  <c r="J42" i="10"/>
  <c r="I40" i="10"/>
  <c r="J98" i="10"/>
  <c r="I59" i="10"/>
  <c r="I66" i="10"/>
  <c r="J90" i="10"/>
  <c r="I72" i="10"/>
  <c r="B31" i="10"/>
  <c r="H19" i="10"/>
  <c r="I19" i="10" s="1"/>
  <c r="J19" i="10" s="1"/>
  <c r="H17" i="10"/>
  <c r="I17" i="10" s="1"/>
  <c r="J17" i="10" s="1"/>
  <c r="B19" i="10"/>
  <c r="C19" i="10" s="1"/>
  <c r="D19" i="10" s="1"/>
  <c r="Q14" i="10"/>
  <c r="B17" i="10"/>
  <c r="C17" i="10" s="1"/>
  <c r="D17" i="10" s="1"/>
  <c r="H30" i="10"/>
  <c r="I30" i="10"/>
  <c r="B61" i="9"/>
  <c r="C61" i="9" s="1"/>
  <c r="D61" i="9" s="1"/>
  <c r="C55" i="9"/>
  <c r="B59" i="9"/>
  <c r="C59" i="9" s="1"/>
  <c r="D59" i="9" s="1"/>
  <c r="B57" i="9"/>
  <c r="B63" i="9" s="1"/>
  <c r="B62" i="9"/>
  <c r="C62" i="9" s="1"/>
  <c r="D62" i="9" s="1"/>
  <c r="B31" i="9"/>
  <c r="B29" i="9"/>
  <c r="B57" i="5"/>
  <c r="B63" i="5" s="1"/>
  <c r="B59" i="5"/>
  <c r="C59" i="5" s="1"/>
  <c r="D59" i="5" s="1"/>
  <c r="C55" i="5"/>
  <c r="B22" i="5"/>
  <c r="B23" i="5" s="1"/>
  <c r="E136" i="10" l="1"/>
  <c r="E129" i="10"/>
  <c r="E198" i="10"/>
  <c r="E155" i="10"/>
  <c r="E119" i="10"/>
  <c r="E114" i="10"/>
  <c r="E142" i="10"/>
  <c r="E174" i="10"/>
  <c r="E205" i="10"/>
  <c r="E134" i="10"/>
  <c r="E181" i="10"/>
  <c r="E90" i="10"/>
  <c r="E145" i="10"/>
  <c r="E162" i="10"/>
  <c r="E106" i="10"/>
  <c r="E183" i="10"/>
  <c r="E126" i="10"/>
  <c r="E137" i="10"/>
  <c r="E163" i="10"/>
  <c r="E80" i="10"/>
  <c r="E69" i="10"/>
  <c r="E151" i="10"/>
  <c r="E178" i="10"/>
  <c r="E93" i="10"/>
  <c r="E104" i="10"/>
  <c r="E197" i="10"/>
  <c r="E148" i="10"/>
  <c r="E173" i="10"/>
  <c r="E153" i="10"/>
  <c r="E139" i="10"/>
  <c r="E118" i="10"/>
  <c r="E122" i="10"/>
  <c r="E201" i="10"/>
  <c r="E166" i="10"/>
  <c r="E195" i="10"/>
  <c r="E158" i="10"/>
  <c r="E175" i="10"/>
  <c r="E159" i="10"/>
  <c r="E193" i="10"/>
  <c r="E169" i="10"/>
  <c r="E189" i="10"/>
  <c r="E185" i="10"/>
  <c r="E199" i="10"/>
  <c r="E113" i="10"/>
  <c r="E105" i="10"/>
  <c r="E180" i="10"/>
  <c r="E110" i="10"/>
  <c r="H18" i="16"/>
  <c r="H20" i="16"/>
  <c r="I20" i="16" s="1"/>
  <c r="J20" i="16" s="1"/>
  <c r="I16" i="16"/>
  <c r="C16" i="16"/>
  <c r="B18" i="16"/>
  <c r="B20" i="16"/>
  <c r="C20" i="16" s="1"/>
  <c r="D20" i="16" s="1"/>
  <c r="I31" i="16"/>
  <c r="H31" i="16"/>
  <c r="I16" i="10"/>
  <c r="I29" i="10" s="1"/>
  <c r="K55" i="10"/>
  <c r="L30" i="10"/>
  <c r="K73" i="10"/>
  <c r="E78" i="10"/>
  <c r="E83" i="10"/>
  <c r="E44" i="10"/>
  <c r="E84" i="10"/>
  <c r="E77" i="10"/>
  <c r="E62" i="10"/>
  <c r="E50" i="10"/>
  <c r="E52" i="10"/>
  <c r="K83" i="10"/>
  <c r="K90" i="10"/>
  <c r="E70" i="10"/>
  <c r="E100" i="10"/>
  <c r="E41" i="10"/>
  <c r="E46" i="10"/>
  <c r="E38" i="10"/>
  <c r="E63" i="10"/>
  <c r="E89" i="10"/>
  <c r="E67" i="10"/>
  <c r="E37" i="10"/>
  <c r="E57" i="10"/>
  <c r="E75" i="10"/>
  <c r="E45" i="10"/>
  <c r="E98" i="10"/>
  <c r="E99" i="10"/>
  <c r="E64" i="10"/>
  <c r="E40" i="10"/>
  <c r="E101" i="10"/>
  <c r="E71" i="10"/>
  <c r="E91" i="10"/>
  <c r="E65" i="10"/>
  <c r="E42" i="10"/>
  <c r="E94" i="10"/>
  <c r="E95" i="10"/>
  <c r="E72" i="10"/>
  <c r="E86" i="10"/>
  <c r="E51" i="10"/>
  <c r="E39" i="10"/>
  <c r="E66" i="10"/>
  <c r="E49" i="10"/>
  <c r="E96" i="10"/>
  <c r="E59" i="10"/>
  <c r="K44" i="10"/>
  <c r="E76" i="10"/>
  <c r="E56" i="10"/>
  <c r="K79" i="10"/>
  <c r="E79" i="10"/>
  <c r="K47" i="10"/>
  <c r="K37" i="10"/>
  <c r="E60" i="10"/>
  <c r="E68" i="10"/>
  <c r="E73" i="10"/>
  <c r="E81" i="10"/>
  <c r="K39" i="10"/>
  <c r="K49" i="10"/>
  <c r="K69" i="10"/>
  <c r="E54" i="10"/>
  <c r="E87" i="10"/>
  <c r="E47" i="10"/>
  <c r="K101" i="10"/>
  <c r="K86" i="10"/>
  <c r="K67" i="10"/>
  <c r="K97" i="10"/>
  <c r="K91" i="10"/>
  <c r="K56" i="10"/>
  <c r="K95" i="10"/>
  <c r="K85" i="10"/>
  <c r="K71" i="10"/>
  <c r="K62" i="10"/>
  <c r="K68" i="10"/>
  <c r="K93" i="10"/>
  <c r="K40" i="10"/>
  <c r="K80" i="10"/>
  <c r="K60" i="10"/>
  <c r="K64" i="10"/>
  <c r="K89" i="10"/>
  <c r="K38" i="10"/>
  <c r="K54" i="10"/>
  <c r="K88" i="10"/>
  <c r="K41" i="10"/>
  <c r="K58" i="10"/>
  <c r="K75" i="10"/>
  <c r="K77" i="10"/>
  <c r="K51" i="10"/>
  <c r="K50" i="10"/>
  <c r="K45" i="10"/>
  <c r="K87" i="10"/>
  <c r="K98" i="10"/>
  <c r="K57" i="10"/>
  <c r="K66" i="10"/>
  <c r="K48" i="10"/>
  <c r="K81" i="10"/>
  <c r="K52" i="10"/>
  <c r="K53" i="10"/>
  <c r="K100" i="10"/>
  <c r="K72" i="10"/>
  <c r="K59" i="10"/>
  <c r="K74" i="10"/>
  <c r="K94" i="10"/>
  <c r="K76" i="10"/>
  <c r="K99" i="10"/>
  <c r="K42" i="10"/>
  <c r="K70" i="10"/>
  <c r="K65" i="10"/>
  <c r="K92" i="10"/>
  <c r="K63" i="10"/>
  <c r="K96" i="10"/>
  <c r="K84" i="10"/>
  <c r="K82" i="10"/>
  <c r="K61" i="10"/>
  <c r="K46" i="10"/>
  <c r="K78" i="10"/>
  <c r="K43" i="10"/>
  <c r="B20" i="10"/>
  <c r="C20" i="10" s="1"/>
  <c r="D20" i="10" s="1"/>
  <c r="C16" i="10"/>
  <c r="H29" i="10" s="1"/>
  <c r="B18" i="10"/>
  <c r="H18" i="10"/>
  <c r="D55" i="9"/>
  <c r="D57" i="9" s="1"/>
  <c r="D63" i="9" s="1"/>
  <c r="C57" i="9"/>
  <c r="C63" i="9" s="1"/>
  <c r="D55" i="5"/>
  <c r="D57" i="5" s="1"/>
  <c r="D63" i="5" s="1"/>
  <c r="C57" i="5"/>
  <c r="C63" i="5" s="1"/>
  <c r="B28" i="5"/>
  <c r="B31" i="5" s="1"/>
  <c r="I18" i="10" l="1"/>
  <c r="J16" i="10"/>
  <c r="J18" i="10" s="1"/>
  <c r="D16" i="16"/>
  <c r="D18" i="16" s="1"/>
  <c r="C18" i="16"/>
  <c r="H29" i="16"/>
  <c r="J16" i="16"/>
  <c r="J18" i="16" s="1"/>
  <c r="I18" i="16"/>
  <c r="I29" i="16"/>
  <c r="C18" i="10"/>
  <c r="D16" i="10"/>
  <c r="D18" i="10" s="1"/>
  <c r="B29" i="5"/>
  <c r="L29" i="16" l="1"/>
  <c r="J29" i="16"/>
  <c r="J29" i="10"/>
  <c r="L2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D76DB7-78A6-4109-AB62-90AE8C00EBA8}" keepAlive="1" name="Query - 1000" description="Connection to the '1000' query in the workbook." type="5" refreshedVersion="8" background="1" saveData="1">
    <dbPr connection="Provider=Microsoft.Mashup.OleDb.1;Data Source=$Workbook$;Location=1000;Extended Properties=&quot;&quot;" command="SELECT * FROM [1000]"/>
  </connection>
  <connection id="2" xr16:uid="{F81E9ABF-DDCF-4A4D-B7C0-4C05A4A31B83}" keepAlive="1" name="Query - keyence toc 100 do" description="Connection to the 'keyence toc 100 do' query in the workbook." type="5" refreshedVersion="8" background="1" saveData="1">
    <dbPr connection="Provider=Microsoft.Mashup.OleDb.1;Data Source=$Workbook$;Location=&quot;keyence toc 100 do&quot;;Extended Properties=&quot;&quot;" command="SELECT * FROM [keyence toc 100 do]"/>
  </connection>
  <connection id="3" xr16:uid="{E1B56894-70CA-4FFC-BB23-787677033FD1}" keepAlive="1" name="Query - mau do toc 100" description="Connection to the 'mau do toc 100' query in the workbook." type="5" refreshedVersion="8" background="1" saveData="1">
    <dbPr connection="Provider=Microsoft.Mashup.OleDb.1;Data Source=$Workbook$;Location=&quot;mau do toc 100&quot;;Extended Properties=&quot;&quot;" command="SELECT * FROM [mau do toc 100]"/>
  </connection>
  <connection id="4" xr16:uid="{A06D1DE7-A48A-4ACC-A339-5073A4A7496E}" keepAlive="1" name="Query - mau do toc 200" description="Connection to the 'mau do toc 200' query in the workbook." type="5" refreshedVersion="8" background="1" saveData="1">
    <dbPr connection="Provider=Microsoft.Mashup.OleDb.1;Data Source=$Workbook$;Location=&quot;mau do toc 200&quot;;Extended Properties=&quot;&quot;" command="SELECT * FROM [mau do toc 200]"/>
  </connection>
  <connection id="5" xr16:uid="{BE71E6D9-927E-4D7A-9576-1EC3FC86D6CD}" keepAlive="1" name="Query - mau do toc 300" description="Connection to the 'mau do toc 300' query in the workbook." type="5" refreshedVersion="8" background="1" saveData="1">
    <dbPr connection="Provider=Microsoft.Mashup.OleDb.1;Data Source=$Workbook$;Location=&quot;mau do toc 300&quot;;Extended Properties=&quot;&quot;" command="SELECT * FROM [mau do toc 3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<sst xmlns="http://schemas.openxmlformats.org/spreadsheetml/2006/main" count="6660" uniqueCount="167">
  <si>
    <t>Event_No</t>
  </si>
  <si>
    <t>0xFF00</t>
  </si>
  <si>
    <t>0xFF02</t>
  </si>
  <si>
    <t>#</t>
  </si>
  <si>
    <t>Trạng thái</t>
  </si>
  <si>
    <t>Ghi chú</t>
  </si>
  <si>
    <t>PHÂN TÍCH IN_2 - CÔNG THỨC ĐỘNG</t>
  </si>
  <si>
    <t>THỐNG KÊ TỔNG QUAN</t>
  </si>
  <si>
    <t>Chỉ số</t>
  </si>
  <si>
    <t>Công thức</t>
  </si>
  <si>
    <t>Kết quả</t>
  </si>
  <si>
    <t>Tổng samples</t>
  </si>
  <si>
    <t>Samples ON (IN_2=1)</t>
  </si>
  <si>
    <t>Samples OFF (IN_2=0)</t>
  </si>
  <si>
    <t>Tỷ lệ ON (%)</t>
  </si>
  <si>
    <t>Số lần bật ON (0→1)</t>
  </si>
  <si>
    <t>Số lần tắt OFF (1→0)</t>
  </si>
  <si>
    <t>Tổng chuyển đổi</t>
  </si>
  <si>
    <t>Thời lượng ON TB (samples)</t>
  </si>
  <si>
    <t>DANH SÁCH SỰ KIỆN (Công thức động)</t>
  </si>
  <si>
    <t>Time (s)</t>
  </si>
  <si>
    <t>Tổng thời gian test (s)</t>
  </si>
  <si>
    <t>TÍNH TOÁN SỐ VÒNG QUAY</t>
  </si>
  <si>
    <t>Giá trị</t>
  </si>
  <si>
    <t>Chọn RPM</t>
  </si>
  <si>
    <t>Chọn số ô trên đĩa</t>
  </si>
  <si>
    <t>ô</t>
  </si>
  <si>
    <t>Số vòng đã quay</t>
  </si>
  <si>
    <t>SO SÁNH KẾT QUẢ</t>
  </si>
  <si>
    <t>Số xung đếm được (ON)</t>
  </si>
  <si>
    <t>%</t>
  </si>
  <si>
    <t>Thời gian test</t>
  </si>
  <si>
    <t>Sai lệch (Đếm - LT)</t>
  </si>
  <si>
    <t>xung</t>
  </si>
  <si>
    <t>Số ô giống nhau trên đĩa</t>
  </si>
  <si>
    <t>Số xung LT điều chỉnh</t>
  </si>
  <si>
    <t>TỶ LỆ CHÍNH XÁC (xung)</t>
  </si>
  <si>
    <t xml:space="preserve">Số ô màu đã chạy </t>
  </si>
  <si>
    <t>Số màu lấy mẫu phải nhận</t>
  </si>
  <si>
    <t>Đơn vị</t>
  </si>
  <si>
    <t>ms</t>
  </si>
  <si>
    <t>samples</t>
  </si>
  <si>
    <t>lần</t>
  </si>
  <si>
    <t>giây (s)</t>
  </si>
  <si>
    <t>vòng/phút (RPM)</t>
  </si>
  <si>
    <t>vòng</t>
  </si>
  <si>
    <t>màu</t>
  </si>
  <si>
    <t>Chu kỳ trung bình (ON+OFF)</t>
  </si>
  <si>
    <t>Thời lượng ON min</t>
  </si>
  <si>
    <t>Thời lượng ON max</t>
  </si>
  <si>
    <t>Thời lượng OFF min</t>
  </si>
  <si>
    <t>Thời lượng OFF max</t>
  </si>
  <si>
    <t>Độ lệch chuẩn chu kỳ</t>
  </si>
  <si>
    <t>Duration (ms)</t>
  </si>
  <si>
    <t>⚙️ CẤU HÌNH DỮ LIỆU</t>
  </si>
  <si>
    <t>Tên Sheet Dữ Liệu:</t>
  </si>
  <si>
    <t>keyence toc 100 do</t>
  </si>
  <si>
    <t>Cột thời gian (A):</t>
  </si>
  <si>
    <t>A</t>
  </si>
  <si>
    <t>Cột IN_2 (E):</t>
  </si>
  <si>
    <t>E</t>
  </si>
  <si>
    <t>📝 Thay đổi tên sheet ở ô vàng để đọc dữ liệu khác</t>
  </si>
  <si>
    <t>THỜI GIAN CHUYỂN MẠCH - ĐA ĐƠN VỊ</t>
  </si>
  <si>
    <t>µs (micro)</t>
  </si>
  <si>
    <t>ms (mili)</t>
  </si>
  <si>
    <t>s (giây)</t>
  </si>
  <si>
    <t>Sampling interval (s):</t>
  </si>
  <si>
    <t>Thời lượng ON trung bình</t>
  </si>
  <si>
    <t>Thời lượng OFF trung bình</t>
  </si>
  <si>
    <t>Tần số ước tính (Hz)</t>
  </si>
  <si>
    <t>≈ 1 sample × interval</t>
  </si>
  <si>
    <t>≈ 2 × ON_TB (ước tính)</t>
  </si>
  <si>
    <t>≈ 2 × OFF_TB (ước tính)</t>
  </si>
  <si>
    <t>Ước tính</t>
  </si>
  <si>
    <t>Hz = 1/chu_kỳ</t>
  </si>
  <si>
    <t>Tổng samples:</t>
  </si>
  <si>
    <t>Sampling rate (Hz):</t>
  </si>
  <si>
    <t>📐 BẢNG QUY ĐỔI ĐƠN VỊ</t>
  </si>
  <si>
    <t>Hệ số</t>
  </si>
  <si>
    <t>Từ</t>
  </si>
  <si>
    <t>µs → ms</t>
  </si>
  <si>
    <t>÷ 1,000</t>
  </si>
  <si>
    <t>micro giây</t>
  </si>
  <si>
    <t>µs / 1000</t>
  </si>
  <si>
    <t>ms → s</t>
  </si>
  <si>
    <t>mili giây</t>
  </si>
  <si>
    <t>ms / 1000</t>
  </si>
  <si>
    <t>µs → s</t>
  </si>
  <si>
    <t>÷ 1,000,000</t>
  </si>
  <si>
    <t>µs / 1000000</t>
  </si>
  <si>
    <t>s → ms</t>
  </si>
  <si>
    <t>× 1,000</t>
  </si>
  <si>
    <t>giây</t>
  </si>
  <si>
    <t>s × 1000</t>
  </si>
  <si>
    <t>ms → µs</t>
  </si>
  <si>
    <t>ms × 1000</t>
  </si>
  <si>
    <t>s → µs</t>
  </si>
  <si>
    <t>× 1,000,000</t>
  </si>
  <si>
    <t>s × 1000000</t>
  </si>
  <si>
    <t>📖 HƯỚNG DẪN SỬ DỤNG</t>
  </si>
  <si>
    <t>1. Nhập tên sheet dữ liệu vào ô màu vàng (L3)</t>
  </si>
  <si>
    <t>ON_TB x interval</t>
  </si>
  <si>
    <t>OFF_TB x interval</t>
  </si>
  <si>
    <t>ON + OFF</t>
  </si>
  <si>
    <t>D</t>
  </si>
  <si>
    <t>Thời gian test (s):</t>
  </si>
  <si>
    <t>Samples ON (=1)</t>
  </si>
  <si>
    <t>Samples OFF (=0)</t>
  </si>
  <si>
    <t>Rising edge</t>
  </si>
  <si>
    <t>Falling edge</t>
  </si>
  <si>
    <t>Thời lượng ON TB</t>
  </si>
  <si>
    <t>Thời lượng OFF TB</t>
  </si>
  <si>
    <t>Chu kỳ TB (ON+OFF)</t>
  </si>
  <si>
    <t>ON_TB × interval</t>
  </si>
  <si>
    <t>OFF_TB × interval</t>
  </si>
  <si>
    <t>IN_1</t>
  </si>
  <si>
    <t>IN_2</t>
  </si>
  <si>
    <t>Chênh lệch</t>
  </si>
  <si>
    <t>Nhận xét</t>
  </si>
  <si>
    <t>Samples ON</t>
  </si>
  <si>
    <t>Số lần ON</t>
  </si>
  <si>
    <t>Thời lượng ON TB (ms)</t>
  </si>
  <si>
    <t>Cột IN_1 (D):</t>
  </si>
  <si>
    <t>Nhập giá trị</t>
  </si>
  <si>
    <t>Số ô màu đã chạy</t>
  </si>
  <si>
    <t>1. Nhập tên sheet dữ liệu vào ô màu VÀNG (Q3)</t>
  </si>
  <si>
    <t>2. Thay đổi cột dữ liệu tại Q5, Q6, Q7</t>
  </si>
  <si>
    <t>3. Nhập RPM và số ô đĩa tại B27, B28, B29</t>
  </si>
  <si>
    <t>4. Tất cả công thức tự động cập nhật</t>
  </si>
  <si>
    <t>5. Hoạt động với mọi độ dài dữ liệu</t>
  </si>
  <si>
    <t>Trạng thái IN_1</t>
  </si>
  <si>
    <t>Samples</t>
  </si>
  <si>
    <t>ON (=1)</t>
  </si>
  <si>
    <t>OFF (=0)</t>
  </si>
  <si>
    <t>Trạng thái IN_2</t>
  </si>
  <si>
    <t>📊 BIỂU ĐỒ TỶ LỆ ON/OFF</t>
  </si>
  <si>
    <t xml:space="preserve"> TÍNH TOÁN SỐ VÒNG QUAY</t>
  </si>
  <si>
    <t xml:space="preserve"> THỜI GIAN CHUYỂN MẠCH IN_1</t>
  </si>
  <si>
    <t xml:space="preserve"> PHÂN TÍCH IN_1 (Cột D)</t>
  </si>
  <si>
    <t>PHÂN TÍCH IN_2 (Cột E)</t>
  </si>
  <si>
    <t xml:space="preserve"> THỜI GIAN CHUYỂN MẠCH IN_2</t>
  </si>
  <si>
    <t xml:space="preserve"> SO SÁNH IN_1 vs IN_2</t>
  </si>
  <si>
    <t xml:space="preserve">DANH SÁCH SỰ KIỆN IN_1 </t>
  </si>
  <si>
    <t>DANH SÁCH SỰ KIỆN IN_2</t>
  </si>
  <si>
    <t xml:space="preserve">TỶ LỆ CHÍNH XÁC </t>
  </si>
  <si>
    <t>Time</t>
  </si>
  <si>
    <t>Hex</t>
  </si>
  <si>
    <t>IN_3</t>
  </si>
  <si>
    <t>IN_4</t>
  </si>
  <si>
    <t>IN_5</t>
  </si>
  <si>
    <t>IN_6</t>
  </si>
  <si>
    <t>IN_7</t>
  </si>
  <si>
    <t>IN_8</t>
  </si>
  <si>
    <t>IN_9</t>
  </si>
  <si>
    <t>IN_10</t>
  </si>
  <si>
    <t>IN_11</t>
  </si>
  <si>
    <t>IN_12</t>
  </si>
  <si>
    <t>IN_13</t>
  </si>
  <si>
    <t>IN_14</t>
  </si>
  <si>
    <t>IN_15</t>
  </si>
  <si>
    <t>IN_16</t>
  </si>
  <si>
    <t>mau do toc 300</t>
  </si>
  <si>
    <t>BẢNG QUY ĐỔI ĐƠN VỊ</t>
  </si>
  <si>
    <t xml:space="preserve"> CẤU HÌNH DỮ LIỆU</t>
  </si>
  <si>
    <t xml:space="preserve"> Thay đổi tên sheet ở ô vàng để đọc dữ liệu khác</t>
  </si>
  <si>
    <t>0xFF03</t>
  </si>
  <si>
    <t>mau do toc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</si>
</sst>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"/>
    <numFmt numFmtId="166" formatCode="0.00\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1F4E79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146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3" borderId="0" xfId="0" applyFont="1" applyFill="1"/>
    <xf numFmtId="2" fontId="0" fillId="0" borderId="0" xfId="0" applyNumberFormat="1"/>
    <xf numFmtId="0" fontId="1" fillId="10" borderId="0" xfId="0" applyFont="1" applyFill="1"/>
    <xf numFmtId="165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4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2" fontId="0" fillId="7" borderId="1" xfId="0" applyNumberFormat="1" applyFill="1" applyBorder="1"/>
    <xf numFmtId="0" fontId="1" fillId="0" borderId="1" xfId="0" applyFont="1" applyBorder="1"/>
    <xf numFmtId="0" fontId="1" fillId="11" borderId="0" xfId="0" applyFont="1" applyFill="1"/>
    <xf numFmtId="0" fontId="1" fillId="5" borderId="1" xfId="0" applyFont="1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1" fontId="1" fillId="7" borderId="1" xfId="0" applyNumberFormat="1" applyFont="1" applyFill="1" applyBorder="1"/>
    <xf numFmtId="1" fontId="1" fillId="10" borderId="1" xfId="0" applyNumberFormat="1" applyFont="1" applyFill="1" applyBorder="1"/>
    <xf numFmtId="0" fontId="1" fillId="6" borderId="1" xfId="0" applyFont="1" applyFill="1" applyBorder="1"/>
    <xf numFmtId="2" fontId="2" fillId="4" borderId="1" xfId="0" applyNumberFormat="1" applyFont="1" applyFill="1" applyBorder="1"/>
    <xf numFmtId="0" fontId="0" fillId="7" borderId="0" xfId="0" applyFill="1"/>
    <xf numFmtId="0" fontId="6" fillId="0" borderId="0" xfId="0" applyFont="1"/>
    <xf numFmtId="0" fontId="1" fillId="7" borderId="0" xfId="0" applyFont="1" applyFill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1" fillId="14" borderId="1" xfId="0" applyFont="1" applyFill="1" applyBorder="1"/>
    <xf numFmtId="0" fontId="0" fillId="0" borderId="20" xfId="0" applyBorder="1"/>
    <xf numFmtId="0" fontId="0" fillId="0" borderId="21" xfId="0" applyBorder="1"/>
    <xf numFmtId="0" fontId="0" fillId="0" borderId="6" xfId="0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9" borderId="1" xfId="0" applyFont="1" applyFill="1" applyBorder="1"/>
    <xf numFmtId="0" fontId="0" fillId="12" borderId="1" xfId="0" applyFill="1" applyBorder="1"/>
    <xf numFmtId="0" fontId="1" fillId="22" borderId="1" xfId="0" applyFont="1" applyFill="1" applyBorder="1"/>
    <xf numFmtId="0" fontId="0" fillId="10" borderId="0" xfId="0" applyFill="1"/>
    <xf numFmtId="0" fontId="0" fillId="14" borderId="0" xfId="0" applyFill="1"/>
    <xf numFmtId="0" fontId="1" fillId="0" borderId="20" xfId="0" applyFont="1" applyBorder="1"/>
    <xf numFmtId="0" fontId="4" fillId="15" borderId="0" xfId="0" applyFont="1" applyFill="1"/>
    <xf numFmtId="0" fontId="4" fillId="18" borderId="0" xfId="0" applyFont="1" applyFill="1"/>
    <xf numFmtId="166" fontId="0" fillId="0" borderId="0" xfId="0" applyNumberFormat="1"/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" xfId="0" applyBorder="1" applyProtection="1">
      <protection locked="0"/>
    </xf>
    <xf numFmtId="0" fontId="1" fillId="0" borderId="20" xfId="0" applyFont="1" applyBorder="1" applyProtection="1">
      <protection locked="0"/>
    </xf>
    <xf numFmtId="0" fontId="0" fillId="0" borderId="7" xfId="0" applyBorder="1" applyProtection="1">
      <protection locked="0"/>
    </xf>
    <xf numFmtId="0" fontId="1" fillId="17" borderId="1" xfId="0" applyFont="1" applyFill="1" applyBorder="1" applyProtection="1">
      <protection locked="0"/>
    </xf>
    <xf numFmtId="0" fontId="1" fillId="14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22" borderId="1" xfId="0" applyFont="1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2" borderId="22" xfId="0" applyFont="1" applyFill="1" applyBorder="1" applyProtection="1">
      <protection locked="0"/>
    </xf>
    <xf numFmtId="0" fontId="4" fillId="2" borderId="23" xfId="0" applyFont="1" applyFill="1" applyBorder="1" applyProtection="1">
      <protection locked="0"/>
    </xf>
    <xf numFmtId="0" fontId="4" fillId="2" borderId="24" xfId="0" applyFont="1" applyFill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9" xfId="0" applyBorder="1" applyProtection="1">
      <protection locked="0"/>
    </xf>
    <xf numFmtId="0" fontId="4" fillId="8" borderId="22" xfId="0" applyFont="1" applyFill="1" applyBorder="1" applyProtection="1">
      <protection locked="0"/>
    </xf>
    <xf numFmtId="0" fontId="4" fillId="8" borderId="23" xfId="0" applyFont="1" applyFill="1" applyBorder="1" applyProtection="1">
      <protection locked="0"/>
    </xf>
    <xf numFmtId="0" fontId="4" fillId="8" borderId="24" xfId="0" applyFont="1" applyFill="1" applyBorder="1" applyProtection="1">
      <protection locked="0"/>
    </xf>
    <xf numFmtId="0" fontId="9" fillId="21" borderId="1" xfId="0" applyFont="1" applyFill="1" applyBorder="1" applyProtection="1">
      <protection locked="0"/>
    </xf>
    <xf numFmtId="0" fontId="4" fillId="15" borderId="1" xfId="0" applyFont="1" applyFill="1" applyBorder="1" applyProtection="1">
      <protection locked="0"/>
    </xf>
    <xf numFmtId="0" fontId="4" fillId="18" borderId="1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3" fillId="2" borderId="9" xfId="0" applyFont="1" applyFill="1" applyBorder="1" applyProtection="1">
      <protection locked="0"/>
    </xf>
    <xf numFmtId="0" fontId="5" fillId="0" borderId="20" xfId="0" applyFont="1" applyBorder="1" applyProtection="1">
      <protection locked="0"/>
    </xf>
    <xf numFmtId="0" fontId="1" fillId="12" borderId="21" xfId="0" applyFont="1" applyFill="1" applyBorder="1" applyProtection="1">
      <protection locked="0"/>
    </xf>
    <xf numFmtId="0" fontId="0" fillId="7" borderId="21" xfId="0" applyFill="1" applyBorder="1" applyProtection="1">
      <protection locked="0"/>
    </xf>
    <xf numFmtId="0" fontId="0" fillId="10" borderId="21" xfId="0" applyFill="1" applyBorder="1" applyProtection="1">
      <protection locked="0"/>
    </xf>
    <xf numFmtId="0" fontId="0" fillId="14" borderId="21" xfId="0" applyFill="1" applyBorder="1" applyProtection="1">
      <protection locked="0"/>
    </xf>
    <xf numFmtId="0" fontId="1" fillId="14" borderId="15" xfId="0" applyFont="1" applyFill="1" applyBorder="1" applyProtection="1">
      <protection locked="0"/>
    </xf>
    <xf numFmtId="0" fontId="1" fillId="14" borderId="18" xfId="0" applyFont="1" applyFill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9" xfId="0" applyBorder="1" applyProtection="1">
      <protection locked="0"/>
    </xf>
    <xf numFmtId="0" fontId="1" fillId="17" borderId="15" xfId="0" applyFont="1" applyFill="1" applyBorder="1" applyProtection="1">
      <protection locked="0"/>
    </xf>
    <xf numFmtId="0" fontId="1" fillId="17" borderId="18" xfId="0" applyFont="1" applyFill="1" applyBorder="1" applyProtection="1">
      <protection locked="0"/>
    </xf>
    <xf numFmtId="0" fontId="0" fillId="0" borderId="12" xfId="0" applyBorder="1"/>
    <xf numFmtId="166" fontId="0" fillId="0" borderId="1" xfId="0" applyNumberFormat="1" applyBorder="1"/>
    <xf numFmtId="0" fontId="0" fillId="0" borderId="26" xfId="0" applyBorder="1"/>
    <xf numFmtId="165" fontId="0" fillId="0" borderId="26" xfId="0" applyNumberFormat="1" applyBorder="1"/>
    <xf numFmtId="1" fontId="0" fillId="0" borderId="27" xfId="0" applyNumberFormat="1" applyBorder="1"/>
    <xf numFmtId="0" fontId="0" fillId="0" borderId="28" xfId="0" applyBorder="1"/>
    <xf numFmtId="165" fontId="0" fillId="0" borderId="28" xfId="0" applyNumberFormat="1" applyBorder="1"/>
    <xf numFmtId="1" fontId="0" fillId="0" borderId="30" xfId="0" applyNumberFormat="1" applyBorder="1"/>
    <xf numFmtId="0" fontId="8" fillId="20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9" fillId="15" borderId="10" xfId="0" applyFont="1" applyFill="1" applyBorder="1" applyProtection="1">
      <protection locked="0"/>
    </xf>
    <xf numFmtId="0" fontId="9" fillId="18" borderId="10" xfId="0" applyFont="1" applyFill="1" applyBorder="1" applyProtection="1">
      <protection locked="0"/>
    </xf>
    <xf numFmtId="0" fontId="0" fillId="0" borderId="10" xfId="0" applyBorder="1" applyProtection="1">
      <protection locked="0"/>
    </xf>
    <xf numFmtId="0" fontId="1" fillId="13" borderId="4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8" xfId="0" applyBorder="1" applyProtection="1">
      <protection locked="0"/>
    </xf>
    <xf numFmtId="0" fontId="3" fillId="15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16" borderId="14" xfId="0" applyFont="1" applyFill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7" xfId="0" applyBorder="1" applyProtection="1">
      <protection locked="0"/>
    </xf>
    <xf numFmtId="0" fontId="3" fillId="18" borderId="0" xfId="0" applyFont="1" applyFill="1" applyProtection="1">
      <protection locked="0"/>
    </xf>
    <xf numFmtId="0" fontId="1" fillId="19" borderId="14" xfId="0" applyFont="1" applyFill="1" applyBorder="1" applyProtection="1">
      <protection locked="0"/>
    </xf>
    <xf numFmtId="0" fontId="8" fillId="20" borderId="1" xfId="0" applyFont="1" applyFill="1" applyBorder="1"/>
    <xf numFmtId="0" fontId="0" fillId="0" borderId="1" xfId="0" applyBorder="1"/>
    <xf numFmtId="0" fontId="9" fillId="21" borderId="1" xfId="0" applyFont="1" applyFill="1" applyBorder="1"/>
    <xf numFmtId="0" fontId="3" fillId="15" borderId="0" xfId="0" applyFont="1" applyFill="1"/>
    <xf numFmtId="0" fontId="0" fillId="0" borderId="0" xfId="0"/>
    <xf numFmtId="0" fontId="3" fillId="18" borderId="0" xfId="0" applyFont="1" applyFill="1"/>
    <xf numFmtId="0" fontId="3" fillId="2" borderId="11" xfId="0" applyFont="1" applyFill="1" applyBorder="1"/>
    <xf numFmtId="0" fontId="3" fillId="2" borderId="5" xfId="0" applyFont="1" applyFill="1" applyBorder="1"/>
    <xf numFmtId="0" fontId="3" fillId="2" borderId="9" xfId="0" applyFont="1" applyFill="1" applyBorder="1"/>
    <xf numFmtId="0" fontId="1" fillId="16" borderId="1" xfId="0" applyFont="1" applyFill="1" applyBorder="1"/>
    <xf numFmtId="0" fontId="1" fillId="19" borderId="1" xfId="0" applyFont="1" applyFill="1" applyBorder="1"/>
    <xf numFmtId="0" fontId="1" fillId="12" borderId="0" xfId="0" applyFont="1" applyFill="1"/>
    <xf numFmtId="0" fontId="0" fillId="0" borderId="21" xfId="0" applyBorder="1"/>
    <xf numFmtId="0" fontId="5" fillId="0" borderId="20" xfId="0" applyFont="1" applyBorder="1"/>
    <xf numFmtId="0" fontId="0" fillId="0" borderId="20" xfId="0" applyBorder="1"/>
    <xf numFmtId="0" fontId="10" fillId="0" borderId="0" xfId="0" applyFont="1" applyAlignment="1">
      <alignment horizontal="center"/>
    </xf>
    <xf numFmtId="0" fontId="1" fillId="13" borderId="1" xfId="0" applyFont="1" applyFill="1" applyBorder="1"/>
    <xf numFmtId="0" fontId="9" fillId="15" borderId="1" xfId="0" applyFont="1" applyFill="1" applyBorder="1"/>
    <xf numFmtId="0" fontId="9" fillId="18" borderId="1" xfId="0" applyFont="1" applyFill="1" applyBorder="1"/>
    <xf numFmtId="0" fontId="4" fillId="8" borderId="11" xfId="0" applyFont="1" applyFill="1" applyBorder="1"/>
    <xf numFmtId="0" fontId="0" fillId="0" borderId="5" xfId="0" applyBorder="1"/>
    <xf numFmtId="0" fontId="0" fillId="0" borderId="9" xfId="0" applyBorder="1"/>
    <xf numFmtId="0" fontId="0" fillId="0" borderId="7" xfId="0" applyBorder="1"/>
    <xf numFmtId="0" fontId="0" fillId="0" borderId="2" xfId="0" applyBorder="1"/>
    <xf numFmtId="0" fontId="0" fillId="0" borderId="6" xfId="0" applyBorder="1"/>
    <xf numFmtId="0" fontId="4" fillId="2" borderId="0" xfId="0" applyFont="1" applyFill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4" fillId="9" borderId="0" xfId="0" applyFont="1" applyFill="1"/>
    <xf numFmtId="0" fontId="1" fillId="12" borderId="1" xfId="0" applyFont="1" applyFill="1" applyBorder="1"/>
    <xf numFmtId="0" fontId="6" fillId="0" borderId="0" xfId="0" applyFont="1"/>
    <xf numFmtId="0" fontId="1" fillId="0" borderId="0" xfId="0" applyFont="1"/>
    <xf numFmtId="0" fontId="4" fillId="8" borderId="0" xfId="0" applyFont="1" applyFill="1"/>
    <xf numFmtId="0" fontId="1" fillId="13" borderId="0" xfId="0" applyFont="1" applyFill="1"/>
    <xf numFmtId="0" fontId="7" fillId="0" borderId="0" xfId="0" applyFont="1"/>
    <xf numFmtId="0" fontId="0" fillId="0" borderId="0" xfId="0" applyNumberFormat="1"/>
  </cellXfs>
  <cellStyles count="1">
    <cellStyle name="Normal" xfId="0" builtinId="0"/>
  </cellStyles>
  <dxfs count="20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🔴 TỶ LỆ ON/OFF - IN_1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 (2)'!$V$1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E2-442A-A73B-90E128BDC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E2-442A-A73B-90E128BDC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 (2)'!$U$2:$U$3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 (2)'!$V$2:$V$3</c:f>
              <c:numCache>
                <c:formatCode>General</c:formatCode>
                <c:ptCount val="2"/>
                <c:pt idx="0">
                  <c:v>0</c:v>
                </c:pt>
                <c:pt idx="1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2-442A-A73B-90E128BDC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🔵 TỶ LỆ ON/OFF - IN_2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 (2)'!$V$5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BE-48E0-8AB4-A561CEC916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BE-48E0-8AB4-A561CEC916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 (2)'!$U$6:$U$7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 (2)'!$V$6:$V$7</c:f>
              <c:numCache>
                <c:formatCode>General</c:formatCode>
                <c:ptCount val="2"/>
                <c:pt idx="0">
                  <c:v>124</c:v>
                </c:pt>
                <c:pt idx="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BE-48E0-8AB4-A561CEC91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🔴 TỶ LỆ ON/OFF - IN_1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IN_2'!$Q$16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9-4371-BB0C-1A3B2A1B2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9-4371-BB0C-1A3B2A1B23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IN_2'!$P$17:$P$18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IN_2'!$Q$17:$Q$18</c:f>
              <c:numCache>
                <c:formatCode>General</c:formatCode>
                <c:ptCount val="2"/>
                <c:pt idx="0">
                  <c:v>0</c:v>
                </c:pt>
                <c:pt idx="1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F9-4371-BB0C-1A3B2A1B2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🔵 TỶ LỆ ON/OFF - IN_2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IN_2'!$Q$20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90-4DB7-BABB-C66C27F64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90-4DB7-BABB-C66C27F641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IN_2'!$P$21:$P$22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IN_2'!$Q$21:$Q$22</c:f>
              <c:numCache>
                <c:formatCode>General</c:formatCode>
                <c:ptCount val="2"/>
                <c:pt idx="0">
                  <c:v>125</c:v>
                </c:pt>
                <c:pt idx="1">
                  <c:v>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0-4DB7-BABB-C66C27F64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9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AE2AD-6192-4625-AEE5-9D4280F32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9</xdr:row>
      <xdr:rowOff>0</xdr:rowOff>
    </xdr:from>
    <xdr:to>
      <xdr:col>32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EDAA8-0E0A-4B9A-9DCA-9A3D1FBD9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</xdr:rowOff>
    </xdr:from>
    <xdr:to>
      <xdr:col>4</xdr:col>
      <xdr:colOff>734786</xdr:colOff>
      <xdr:row>22</xdr:row>
      <xdr:rowOff>3075214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2DE75B-6653-45D2-AACA-0B81169EA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40821</xdr:colOff>
      <xdr:row>22</xdr:row>
      <xdr:rowOff>0</xdr:rowOff>
    </xdr:from>
    <xdr:to>
      <xdr:col>10</xdr:col>
      <xdr:colOff>775606</xdr:colOff>
      <xdr:row>22</xdr:row>
      <xdr:rowOff>3061607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347BAD-0630-4EFA-9110-01D28E599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DEA69E-DD7C-4AB9-BA5B-4FB74D6EE0D3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8D7D2348-FC7B-44E1-90C9-688EE5ED1AA6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9AB4A6CF-EACB-4A48-8D03-37E59AD86655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B58D9986-01F6-4B3F-9690-CC80A5792D82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F036B-F206-4BE7-B9C2-29EF710DA812}" name="_1000" displayName="_1000" ref="A1:S2977" tableType="queryTable" totalsRowShown="0">
  <autoFilter ref="A1:S2977" xr:uid="{14BF036B-F206-4BE7-B9C2-29EF710DA812}"/>
  <tableColumns count="19">
    <tableColumn id="1" xr3:uid="{38FB6230-7681-4B47-9DC4-DC635B65CB1E}" uniqueName="1" name="Time" queryTableFieldId="1" dataDxfId="13"/>
    <tableColumn id="2" xr3:uid="{4CECEB80-7721-4B9B-A475-5176546D9725}" uniqueName="2" name="Hex" queryTableFieldId="2" dataDxfId="12"/>
    <tableColumn id="3" xr3:uid="{D6B2C107-EB0F-40B9-9E4C-5AD707662F35}" uniqueName="3" name="Event_No" queryTableFieldId="3"/>
    <tableColumn id="4" xr3:uid="{6202CA95-53B2-49F3-BF29-E42D4BFBC4C1}" uniqueName="4" name="IN_1" queryTableFieldId="4"/>
    <tableColumn id="5" xr3:uid="{DB04B37D-B3F1-4B3E-8F45-41F8F6426439}" uniqueName="5" name="IN_2" queryTableFieldId="5"/>
    <tableColumn id="6" xr3:uid="{52E652F6-5A9B-4628-99C1-4FAA194959A6}" uniqueName="6" name="IN_3" queryTableFieldId="6"/>
    <tableColumn id="7" xr3:uid="{4E720541-3DEE-4BD0-8234-72E8912D8B66}" uniqueName="7" name="IN_4" queryTableFieldId="7"/>
    <tableColumn id="8" xr3:uid="{AC09F248-B2B9-424C-8DCF-CF2FA9969624}" uniqueName="8" name="IN_5" queryTableFieldId="8"/>
    <tableColumn id="9" xr3:uid="{66D3393F-DE37-4D51-84D1-80E40E084D05}" uniqueName="9" name="IN_6" queryTableFieldId="9"/>
    <tableColumn id="10" xr3:uid="{EA666AFD-8EF4-4182-B006-0F83450C16CB}" uniqueName="10" name="IN_7" queryTableFieldId="10"/>
    <tableColumn id="11" xr3:uid="{6C7AD776-8BA2-4620-9E6A-F86B13ED5812}" uniqueName="11" name="IN_8" queryTableFieldId="11"/>
    <tableColumn id="12" xr3:uid="{D516DE53-43FD-42A3-AB30-32293A98FD82}" uniqueName="12" name="IN_9" queryTableFieldId="12"/>
    <tableColumn id="13" xr3:uid="{424F51CB-5AE7-4898-8546-4C655B14B9A3}" uniqueName="13" name="IN_10" queryTableFieldId="13"/>
    <tableColumn id="14" xr3:uid="{B47F4436-014B-4607-AEE1-ED45A8ACC7C8}" uniqueName="14" name="IN_11" queryTableFieldId="14"/>
    <tableColumn id="15" xr3:uid="{B5833EA8-D613-45E7-BCF0-04BCD0E2AADE}" uniqueName="15" name="IN_12" queryTableFieldId="15"/>
    <tableColumn id="16" xr3:uid="{500D0081-6507-47EC-AD1A-06785366DD52}" uniqueName="16" name="IN_13" queryTableFieldId="16"/>
    <tableColumn id="17" xr3:uid="{FD34D3B5-BBEF-4264-865D-AEBDAC95E375}" uniqueName="17" name="IN_14" queryTableFieldId="17"/>
    <tableColumn id="18" xr3:uid="{913A3D8D-F13E-46AD-9AAB-46A953A0AD38}" uniqueName="18" name="IN_15" queryTableFieldId="18"/>
    <tableColumn id="19" xr3:uid="{EAD9B49A-2A30-4853-AA00-7B7F2A798710}" uniqueName="19" name="IN_16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6642C-9EAE-4911-B4AC-EF3B160747D1}" name="mau_do_toc_300" displayName="mau_do_toc_300" ref="A1:S994" tableType="queryTable" totalsRowShown="0">
  <autoFilter ref="A1:S994" xr:uid="{6BE6642C-9EAE-4911-B4AC-EF3B160747D1}"/>
  <tableColumns count="19">
    <tableColumn id="1" xr3:uid="{C840E21C-1C93-4390-B61A-071DCCCA006C}" uniqueName="1" name="Time" queryTableFieldId="1" dataDxfId="19"/>
    <tableColumn id="2" xr3:uid="{111C5068-16ED-4A5A-A285-5E674FB49A98}" uniqueName="2" name="Hex" queryTableFieldId="2" dataDxfId="18"/>
    <tableColumn id="3" xr3:uid="{7706D323-06E7-46FF-A6EB-347E3D4B14B8}" uniqueName="3" name="Event_No" queryTableFieldId="3"/>
    <tableColumn id="4" xr3:uid="{36A0883A-4F59-4F17-942B-D6DAFE218722}" uniqueName="4" name="IN_1" queryTableFieldId="4"/>
    <tableColumn id="5" xr3:uid="{CB43328E-9B5C-401E-A5C7-D42391D97045}" uniqueName="5" name="IN_2" queryTableFieldId="5"/>
    <tableColumn id="6" xr3:uid="{DE1C9AFE-7092-4BFC-A561-32F848D06C96}" uniqueName="6" name="IN_3" queryTableFieldId="6"/>
    <tableColumn id="7" xr3:uid="{12FC26DD-F680-4415-99CF-399CFB67F45F}" uniqueName="7" name="IN_4" queryTableFieldId="7"/>
    <tableColumn id="8" xr3:uid="{7812D392-B218-4990-A6CA-987C4F5E44A6}" uniqueName="8" name="IN_5" queryTableFieldId="8"/>
    <tableColumn id="9" xr3:uid="{1DE4214A-A194-4339-AF45-FA8B05651454}" uniqueName="9" name="IN_6" queryTableFieldId="9"/>
    <tableColumn id="10" xr3:uid="{80140AD4-D3B4-4223-B176-A0F60E7CC827}" uniqueName="10" name="IN_7" queryTableFieldId="10"/>
    <tableColumn id="11" xr3:uid="{E9756531-AF58-40E0-940E-B39C9B2B67BA}" uniqueName="11" name="IN_8" queryTableFieldId="11"/>
    <tableColumn id="12" xr3:uid="{19A2AE30-A558-4EB7-A50D-A5433A4E8A95}" uniqueName="12" name="IN_9" queryTableFieldId="12"/>
    <tableColumn id="13" xr3:uid="{75F1258C-5890-4A5E-9579-F61BB88F6CFC}" uniqueName="13" name="IN_10" queryTableFieldId="13"/>
    <tableColumn id="14" xr3:uid="{EEDA418A-CC39-48EF-B152-FD0FBA0229C6}" uniqueName="14" name="IN_11" queryTableFieldId="14"/>
    <tableColumn id="15" xr3:uid="{80F899E7-D0FE-4EF5-A83E-6B7B038A29F9}" uniqueName="15" name="IN_12" queryTableFieldId="15"/>
    <tableColumn id="16" xr3:uid="{24032161-3787-4336-85F9-3F4E2472A894}" uniqueName="16" name="IN_13" queryTableFieldId="16"/>
    <tableColumn id="17" xr3:uid="{6F114E32-B7DA-4FC3-AC36-766E353223E4}" uniqueName="17" name="IN_14" queryTableFieldId="17"/>
    <tableColumn id="18" xr3:uid="{58B00C5A-B8D7-486C-BAB0-66CFFF44B38F}" uniqueName="18" name="IN_15" queryTableFieldId="18"/>
    <tableColumn id="19" xr3:uid="{BF0A9FF1-7E61-4A2D-8DFE-6C7203B9BB20}" uniqueName="19" name="IN_16" queryTableField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1A483-87EE-4B62-B401-1E7F33EAF44B}" name="mau_do_toc_200" displayName="mau_do_toc_200" ref="A1:S994" tableType="queryTable" totalsRowShown="0">
  <autoFilter ref="A1:S994" xr:uid="{6B01A483-87EE-4B62-B401-1E7F33EAF44B}"/>
  <tableColumns count="19">
    <tableColumn id="1" xr3:uid="{2D9C9D7E-66E9-4C8B-BC4B-BCC1AF71E934}" uniqueName="1" name="Time" queryTableFieldId="1" dataDxfId="17"/>
    <tableColumn id="2" xr3:uid="{C0C12770-80CB-4FAA-AC21-F857F7D5B49A}" uniqueName="2" name="Hex" queryTableFieldId="2" dataDxfId="16"/>
    <tableColumn id="3" xr3:uid="{8C602655-4033-4FA8-AD76-34BC730C36C3}" uniqueName="3" name="Event_No" queryTableFieldId="3"/>
    <tableColumn id="4" xr3:uid="{F839C941-5291-4E7A-815D-CA0924E48DA0}" uniqueName="4" name="IN_1" queryTableFieldId="4"/>
    <tableColumn id="5" xr3:uid="{7F0C60CD-8A47-4F10-A970-BD1BA945C178}" uniqueName="5" name="IN_2" queryTableFieldId="5"/>
    <tableColumn id="6" xr3:uid="{C73EB329-E46B-4A75-9624-CDFD895663C0}" uniqueName="6" name="IN_3" queryTableFieldId="6"/>
    <tableColumn id="7" xr3:uid="{77CF554C-808B-4E81-ACEB-116A3AB24F40}" uniqueName="7" name="IN_4" queryTableFieldId="7"/>
    <tableColumn id="8" xr3:uid="{050272D2-208D-48F7-B72C-368E76E1E30A}" uniqueName="8" name="IN_5" queryTableFieldId="8"/>
    <tableColumn id="9" xr3:uid="{8F808EDD-00EA-4660-98AC-2E0A845B6F13}" uniqueName="9" name="IN_6" queryTableFieldId="9"/>
    <tableColumn id="10" xr3:uid="{93ECE2A6-3140-4F0E-BEBA-CF68E7DCECEE}" uniqueName="10" name="IN_7" queryTableFieldId="10"/>
    <tableColumn id="11" xr3:uid="{B301D166-7957-4468-B969-C0DED65306E3}" uniqueName="11" name="IN_8" queryTableFieldId="11"/>
    <tableColumn id="12" xr3:uid="{587925B8-8F1C-4A53-9714-C68E79CD24F5}" uniqueName="12" name="IN_9" queryTableFieldId="12"/>
    <tableColumn id="13" xr3:uid="{1A3AFEBE-5CD8-40C2-99CE-96A50FD365FA}" uniqueName="13" name="IN_10" queryTableFieldId="13"/>
    <tableColumn id="14" xr3:uid="{F1081217-EBDA-4D74-BA1A-64D4F2E8717A}" uniqueName="14" name="IN_11" queryTableFieldId="14"/>
    <tableColumn id="15" xr3:uid="{75D9F5C6-B706-4C82-96A9-9999D1B31DD9}" uniqueName="15" name="IN_12" queryTableFieldId="15"/>
    <tableColumn id="16" xr3:uid="{F569CA8B-203B-489B-A8C0-5CA5B79E4B6F}" uniqueName="16" name="IN_13" queryTableFieldId="16"/>
    <tableColumn id="17" xr3:uid="{01964B0E-F350-439E-93B1-46BD94B1279D}" uniqueName="17" name="IN_14" queryTableFieldId="17"/>
    <tableColumn id="18" xr3:uid="{F7B5DD5E-E885-44C0-8842-EBB86EF2F9C3}" uniqueName="18" name="IN_15" queryTableFieldId="18"/>
    <tableColumn id="19" xr3:uid="{FB1358C0-57EB-451E-A16B-8CEE85328DCF}" uniqueName="19" name="IN_16" queryTableFieldId="1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F43D0-1646-4B84-AE52-58E9ABC184D4}" name="mau_do_toc_100" displayName="mau_do_toc_100" ref="A1:S994" tableType="queryTable" totalsRowShown="0">
  <autoFilter ref="A1:S994" xr:uid="{97FF43D0-1646-4B84-AE52-58E9ABC184D4}"/>
  <tableColumns count="19">
    <tableColumn id="1" xr3:uid="{27E5CF29-AC3B-4A68-ACE4-DA3157161D07}" uniqueName="1" name="Time" queryTableFieldId="1" dataDxfId="15"/>
    <tableColumn id="2" xr3:uid="{AAB32213-8FE8-49F5-91F1-CF89FB7C1D3A}" uniqueName="2" name="Hex" queryTableFieldId="2" dataDxfId="14"/>
    <tableColumn id="3" xr3:uid="{7A5EA087-F3FA-4550-938D-483DA4757B81}" uniqueName="3" name="Event_No" queryTableFieldId="3"/>
    <tableColumn id="4" xr3:uid="{FADA6834-AF8D-4D3E-AE55-2E559F82392B}" uniqueName="4" name="IN_1" queryTableFieldId="4"/>
    <tableColumn id="5" xr3:uid="{CB18518C-6B2E-4ADD-9768-9E3D8CF18838}" uniqueName="5" name="IN_2" queryTableFieldId="5"/>
    <tableColumn id="6" xr3:uid="{FBB7E7D8-F4F4-4D03-B823-094E636CC584}" uniqueName="6" name="IN_3" queryTableFieldId="6"/>
    <tableColumn id="7" xr3:uid="{C471E137-F3B9-4B5F-8911-72D6E140C95C}" uniqueName="7" name="IN_4" queryTableFieldId="7"/>
    <tableColumn id="8" xr3:uid="{0E2D8175-73C4-498B-9CDE-E8F54CCC225C}" uniqueName="8" name="IN_5" queryTableFieldId="8"/>
    <tableColumn id="9" xr3:uid="{E70F7D0D-7B8B-42DF-9E2B-022392334FFD}" uniqueName="9" name="IN_6" queryTableFieldId="9"/>
    <tableColumn id="10" xr3:uid="{9A2EE7CB-AB1A-4F97-9AFF-FDC22BDFFC75}" uniqueName="10" name="IN_7" queryTableFieldId="10"/>
    <tableColumn id="11" xr3:uid="{77FFA609-4B75-4B93-AFBD-34974A0218BE}" uniqueName="11" name="IN_8" queryTableFieldId="11"/>
    <tableColumn id="12" xr3:uid="{AA508D4B-2C60-4F19-95BB-0648FD39E58B}" uniqueName="12" name="IN_9" queryTableFieldId="12"/>
    <tableColumn id="13" xr3:uid="{40C6A802-5891-46AC-B50D-0404CE561EA4}" uniqueName="13" name="IN_10" queryTableFieldId="13"/>
    <tableColumn id="14" xr3:uid="{14A1DBB2-4D14-452B-953C-4A496A713272}" uniqueName="14" name="IN_11" queryTableFieldId="14"/>
    <tableColumn id="15" xr3:uid="{DFC84B02-C3FC-46F1-8B0F-EBB708E7B6E0}" uniqueName="15" name="IN_12" queryTableFieldId="15"/>
    <tableColumn id="16" xr3:uid="{FB3BE72A-06F9-44DE-A1D9-A23FBA7E8570}" uniqueName="16" name="IN_13" queryTableFieldId="16"/>
    <tableColumn id="17" xr3:uid="{DEBBE0C4-9035-49CA-B785-EF731A122C6D}" uniqueName="17" name="IN_14" queryTableFieldId="17"/>
    <tableColumn id="18" xr3:uid="{9DDE9A3E-A599-4560-9184-FFBF3F4B7731}" uniqueName="18" name="IN_15" queryTableFieldId="18"/>
    <tableColumn id="19" xr3:uid="{E0AC2C45-798D-4F8F-BC53-7B0CA5C47192}" uniqueName="19" name="IN_16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1539-8D57-48DE-A09C-55F78224DF56}">
  <dimension ref="A1:AF78"/>
  <sheetViews>
    <sheetView topLeftCell="G1" zoomScale="70" zoomScaleNormal="70" workbookViewId="0">
      <selection activeCell="Q15" sqref="Q15"/>
    </sheetView>
  </sheetViews>
  <sheetFormatPr defaultRowHeight="15" x14ac:dyDescent="0.25"/>
  <cols>
    <col min="1" max="1" width="34.28515625" customWidth="1"/>
    <col min="2" max="2" width="17.140625" customWidth="1"/>
    <col min="3" max="3" width="15.28515625" customWidth="1"/>
    <col min="4" max="4" width="17.140625" customWidth="1"/>
    <col min="5" max="5" width="22.85546875" customWidth="1"/>
    <col min="6" max="6" width="5.7109375" customWidth="1"/>
    <col min="7" max="7" width="34.28515625" customWidth="1"/>
    <col min="8" max="8" width="17.140625" customWidth="1"/>
    <col min="9" max="9" width="15.28515625" customWidth="1"/>
    <col min="10" max="10" width="17.140625" customWidth="1"/>
    <col min="11" max="11" width="22.85546875" customWidth="1"/>
    <col min="12" max="12" width="19" customWidth="1"/>
    <col min="13" max="15" width="5.7109375" customWidth="1"/>
    <col min="16" max="16" width="30.42578125" customWidth="1"/>
    <col min="17" max="17" width="26.7109375" customWidth="1"/>
    <col min="18" max="18" width="17.140625" customWidth="1"/>
    <col min="19" max="19" width="21" customWidth="1"/>
    <col min="21" max="21" width="14.140625" bestFit="1" customWidth="1"/>
    <col min="22" max="22" width="8.7109375" bestFit="1" customWidth="1"/>
    <col min="23" max="23" width="8.140625" bestFit="1" customWidth="1"/>
  </cols>
  <sheetData>
    <row r="1" spans="1:32" ht="18.75" x14ac:dyDescent="0.3">
      <c r="A1" s="110" t="s">
        <v>138</v>
      </c>
      <c r="B1" s="111"/>
      <c r="C1" s="111"/>
      <c r="D1" s="111"/>
      <c r="E1" s="111"/>
      <c r="G1" s="112" t="s">
        <v>139</v>
      </c>
      <c r="H1" s="111"/>
      <c r="I1" s="111"/>
      <c r="J1" s="111"/>
      <c r="K1" s="111"/>
      <c r="P1" s="113" t="s">
        <v>54</v>
      </c>
      <c r="Q1" s="114"/>
      <c r="R1" s="114"/>
      <c r="S1" s="115"/>
      <c r="U1" s="41" t="s">
        <v>130</v>
      </c>
      <c r="V1" s="41" t="s">
        <v>131</v>
      </c>
      <c r="W1" s="41" t="s">
        <v>30</v>
      </c>
    </row>
    <row r="2" spans="1:32" x14ac:dyDescent="0.25">
      <c r="P2" s="30"/>
      <c r="S2" s="31"/>
      <c r="U2" s="28" t="s">
        <v>132</v>
      </c>
      <c r="V2" s="27">
        <f ca="1">B6</f>
        <v>0</v>
      </c>
      <c r="W2" s="43">
        <f ca="1">IF(V2+V3=0,0,V2/(V2+V3)*100)</f>
        <v>0</v>
      </c>
    </row>
    <row r="3" spans="1:32" x14ac:dyDescent="0.25">
      <c r="A3" s="116" t="s">
        <v>7</v>
      </c>
      <c r="B3" s="108"/>
      <c r="C3" s="108"/>
      <c r="D3" s="108"/>
      <c r="G3" s="117" t="s">
        <v>7</v>
      </c>
      <c r="H3" s="108"/>
      <c r="I3" s="108"/>
      <c r="J3" s="108"/>
      <c r="P3" s="40" t="s">
        <v>55</v>
      </c>
      <c r="Q3" s="118" t="s">
        <v>161</v>
      </c>
      <c r="R3" s="111"/>
      <c r="S3" s="119"/>
      <c r="U3" s="26" t="s">
        <v>133</v>
      </c>
      <c r="V3" s="32">
        <f ca="1">B5-B6</f>
        <v>994</v>
      </c>
      <c r="W3" s="43">
        <f ca="1">IF(V2+V3=0,0,V3/(V2+V3)*100)</f>
        <v>100</v>
      </c>
    </row>
    <row r="4" spans="1:32" x14ac:dyDescent="0.25">
      <c r="A4" s="34" t="s">
        <v>8</v>
      </c>
      <c r="B4" s="34" t="s">
        <v>23</v>
      </c>
      <c r="C4" s="34" t="s">
        <v>39</v>
      </c>
      <c r="D4" s="34" t="s">
        <v>5</v>
      </c>
      <c r="G4" s="29" t="s">
        <v>8</v>
      </c>
      <c r="H4" s="29" t="s">
        <v>23</v>
      </c>
      <c r="I4" s="29" t="s">
        <v>39</v>
      </c>
      <c r="J4" s="29" t="s">
        <v>5</v>
      </c>
      <c r="P4" s="30"/>
      <c r="S4" s="31"/>
    </row>
    <row r="5" spans="1:32" x14ac:dyDescent="0.25">
      <c r="A5" s="7" t="s">
        <v>11</v>
      </c>
      <c r="B5" s="7">
        <f ca="1">COUNTA(INDIRECT("'"&amp;$Q$3&amp;"'!"&amp;$Q$6&amp;":"&amp;$Q$6))</f>
        <v>994</v>
      </c>
      <c r="C5" s="7" t="s">
        <v>41</v>
      </c>
      <c r="D5" s="7"/>
      <c r="G5" s="7" t="s">
        <v>11</v>
      </c>
      <c r="H5" s="7">
        <f ca="1">COUNTA(INDIRECT("'"&amp;$Q$3&amp;"'!"&amp;$Q$7&amp;":"&amp;$Q$7))</f>
        <v>994</v>
      </c>
      <c r="I5" s="7" t="s">
        <v>41</v>
      </c>
      <c r="J5" s="7"/>
      <c r="P5" s="30" t="s">
        <v>57</v>
      </c>
      <c r="Q5" s="22" t="s">
        <v>58</v>
      </c>
      <c r="S5" s="31"/>
      <c r="U5" s="42" t="s">
        <v>134</v>
      </c>
      <c r="V5" s="42" t="s">
        <v>131</v>
      </c>
      <c r="W5" s="42" t="s">
        <v>30</v>
      </c>
    </row>
    <row r="6" spans="1:32" x14ac:dyDescent="0.25">
      <c r="A6" s="7" t="s">
        <v>106</v>
      </c>
      <c r="B6" s="7" cm="1">
        <f t="array" aca="1" ref="B6" ca="1">SUMPRODUCT((INDIRECT("'"&amp;$Q$3&amp;"'!"&amp;$Q$6&amp;":"&amp;$Q$6)=1)*1)</f>
        <v>0</v>
      </c>
      <c r="C6" s="7" t="s">
        <v>41</v>
      </c>
      <c r="D6" s="7"/>
      <c r="G6" s="7" t="s">
        <v>106</v>
      </c>
      <c r="H6" s="7" cm="1">
        <f t="array" aca="1" ref="H6" ca="1">SUMPRODUCT((INDIRECT("'"&amp;$Q$3&amp;"'!"&amp;$Q$7&amp;":"&amp;$Q$7)=1)*1)</f>
        <v>124</v>
      </c>
      <c r="I6" s="7" t="s">
        <v>41</v>
      </c>
      <c r="J6" s="7"/>
      <c r="P6" s="30" t="s">
        <v>122</v>
      </c>
      <c r="Q6" s="38" t="s">
        <v>104</v>
      </c>
      <c r="S6" s="31"/>
      <c r="U6" s="28" t="s">
        <v>132</v>
      </c>
      <c r="V6" s="27">
        <f ca="1">H6</f>
        <v>124</v>
      </c>
      <c r="W6" s="43">
        <f ca="1">IF(V6+V7=0,0,V6/(V6+V7)*100)</f>
        <v>12.474849094567404</v>
      </c>
    </row>
    <row r="7" spans="1:32" x14ac:dyDescent="0.25">
      <c r="A7" s="7" t="s">
        <v>107</v>
      </c>
      <c r="B7" s="7" cm="1">
        <f t="array" aca="1" ref="B7" ca="1">SUMPRODUCT((INDIRECT("'"&amp;$Q$3&amp;"'!"&amp;$Q$6&amp;":"&amp;$Q$6)=0)*1)</f>
        <v>1048575</v>
      </c>
      <c r="C7" s="7" t="s">
        <v>41</v>
      </c>
      <c r="D7" s="7"/>
      <c r="G7" s="7" t="s">
        <v>107</v>
      </c>
      <c r="H7" s="7" cm="1">
        <f t="array" aca="1" ref="H7" ca="1">SUMPRODUCT((INDIRECT("'"&amp;$Q$3&amp;"'!"&amp;$Q$7&amp;":"&amp;$Q$7)=0)*1)</f>
        <v>1048451</v>
      </c>
      <c r="I7" s="7" t="s">
        <v>41</v>
      </c>
      <c r="J7" s="7"/>
      <c r="P7" s="30" t="s">
        <v>59</v>
      </c>
      <c r="Q7" s="39" t="s">
        <v>60</v>
      </c>
      <c r="S7" s="31"/>
      <c r="U7" s="26" t="s">
        <v>133</v>
      </c>
      <c r="V7" s="32">
        <f ca="1">H5-H6</f>
        <v>870</v>
      </c>
      <c r="W7" s="43">
        <f ca="1">IF(V6+V7=0,0,V7/(V6+V7)*100)</f>
        <v>87.525150905432596</v>
      </c>
    </row>
    <row r="8" spans="1:32" x14ac:dyDescent="0.25">
      <c r="A8" s="7" t="s">
        <v>14</v>
      </c>
      <c r="B8" s="7">
        <f ca="1">IFERROR(B6/B5*100,0)</f>
        <v>0</v>
      </c>
      <c r="C8" s="7" t="s">
        <v>30</v>
      </c>
      <c r="D8" s="7"/>
      <c r="G8" s="7" t="s">
        <v>14</v>
      </c>
      <c r="H8" s="7">
        <f ca="1">IFERROR(H6/H5*100,0)</f>
        <v>12.474849094567404</v>
      </c>
      <c r="I8" s="7" t="s">
        <v>30</v>
      </c>
      <c r="J8" s="7"/>
      <c r="P8" s="30"/>
      <c r="S8" s="31"/>
    </row>
    <row r="9" spans="1:32" ht="18.75" x14ac:dyDescent="0.3">
      <c r="A9" s="7" t="s">
        <v>15</v>
      </c>
      <c r="B9" s="7" cm="1">
        <f t="array" aca="1" ref="B9" ca="1">SUMPRODUCT((INDIRECT("'"&amp;$Q$3&amp;"'!"&amp;$Q$6&amp;"2:"&amp;$Q$6&amp;"10000")=1)*(INDIRECT("'"&amp;$Q$3&amp;"'!"&amp;$Q$6&amp;"1:"&amp;$Q$6&amp;"9999")=0)*1)</f>
        <v>0</v>
      </c>
      <c r="C9" s="7" t="s">
        <v>42</v>
      </c>
      <c r="D9" s="7" t="s">
        <v>108</v>
      </c>
      <c r="G9" s="7" t="s">
        <v>15</v>
      </c>
      <c r="H9" s="7" cm="1">
        <f t="array" aca="1" ref="H9" ca="1">SUMPRODUCT((INDIRECT("'"&amp;$Q$3&amp;"'!"&amp;$Q$7&amp;"2:"&amp;$Q$7&amp;"10000")=1)*(INDIRECT("'"&amp;$Q$3&amp;"'!"&amp;$Q$7&amp;"1:"&amp;$Q$7&amp;"9999")=0)*1)</f>
        <v>50</v>
      </c>
      <c r="I9" s="7" t="s">
        <v>42</v>
      </c>
      <c r="J9" s="7" t="s">
        <v>108</v>
      </c>
      <c r="P9" s="120" t="s">
        <v>61</v>
      </c>
      <c r="Q9" s="111"/>
      <c r="R9" s="111"/>
      <c r="S9" s="119"/>
      <c r="U9" s="122" t="s">
        <v>135</v>
      </c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</row>
    <row r="10" spans="1:32" x14ac:dyDescent="0.25">
      <c r="A10" s="7" t="s">
        <v>16</v>
      </c>
      <c r="B10" s="7" cm="1">
        <f t="array" aca="1" ref="B10" ca="1">SUMPRODUCT((INDIRECT("'"&amp;$Q$3&amp;"'!"&amp;$Q$6&amp;"2:"&amp;$Q$6&amp;"10000")=0)*(INDIRECT("'"&amp;$Q$3&amp;"'!"&amp;$Q$6&amp;"1:"&amp;$Q$6&amp;"9999")=1)*1)</f>
        <v>0</v>
      </c>
      <c r="C10" s="7" t="s">
        <v>42</v>
      </c>
      <c r="D10" s="7" t="s">
        <v>109</v>
      </c>
      <c r="G10" s="7" t="s">
        <v>16</v>
      </c>
      <c r="H10" s="7" cm="1">
        <f t="array" aca="1" ref="H10" ca="1">SUMPRODUCT((INDIRECT("'"&amp;$Q$3&amp;"'!"&amp;$Q$7&amp;"2:"&amp;$Q$7&amp;"10000")=0)*(INDIRECT("'"&amp;$Q$3&amp;"'!"&amp;$Q$7&amp;"1:"&amp;$Q$7&amp;"9999")=1)*1)</f>
        <v>50</v>
      </c>
      <c r="I10" s="7" t="s">
        <v>42</v>
      </c>
      <c r="J10" s="7" t="s">
        <v>109</v>
      </c>
      <c r="P10" s="121"/>
      <c r="Q10" s="111"/>
      <c r="R10" s="111"/>
      <c r="S10" s="119"/>
    </row>
    <row r="11" spans="1:32" x14ac:dyDescent="0.25">
      <c r="A11" s="7" t="s">
        <v>17</v>
      </c>
      <c r="B11" s="7">
        <f ca="1">B9+B10</f>
        <v>0</v>
      </c>
      <c r="C11" s="7" t="s">
        <v>42</v>
      </c>
      <c r="D11" s="7"/>
      <c r="G11" s="7" t="s">
        <v>17</v>
      </c>
      <c r="H11" s="7">
        <f ca="1">H9+H10</f>
        <v>100</v>
      </c>
      <c r="I11" s="7" t="s">
        <v>42</v>
      </c>
      <c r="J11" s="7"/>
      <c r="P11" s="30"/>
      <c r="S11" s="31"/>
    </row>
    <row r="12" spans="1:32" x14ac:dyDescent="0.25">
      <c r="A12" s="7" t="s">
        <v>21</v>
      </c>
      <c r="B12" s="7">
        <f ca="1">$Q$15</f>
        <v>10.003000000006779</v>
      </c>
      <c r="C12" s="7" t="s">
        <v>43</v>
      </c>
      <c r="D12" s="7"/>
      <c r="G12" s="7" t="s">
        <v>21</v>
      </c>
      <c r="H12" s="7">
        <f ca="1">$Q$15</f>
        <v>10.003000000006779</v>
      </c>
      <c r="I12" s="7" t="s">
        <v>43</v>
      </c>
      <c r="J12" s="7"/>
      <c r="P12" s="30" t="s">
        <v>66</v>
      </c>
      <c r="Q12">
        <f ca="1">IFERROR($Q$15/($Q$13-1),0.009802419)</f>
        <v>1.0073514602222335E-2</v>
      </c>
      <c r="S12" s="31"/>
    </row>
    <row r="13" spans="1:32" x14ac:dyDescent="0.25">
      <c r="P13" s="30" t="s">
        <v>75</v>
      </c>
      <c r="Q13">
        <f ca="1">COUNTA(INDIRECT("'"&amp;$Q$3&amp;"'!"&amp;$Q$5&amp;":"&amp;$Q$5))</f>
        <v>994</v>
      </c>
      <c r="S13" s="31"/>
    </row>
    <row r="14" spans="1:32" x14ac:dyDescent="0.25">
      <c r="A14" s="116" t="s">
        <v>137</v>
      </c>
      <c r="B14" s="108"/>
      <c r="C14" s="108"/>
      <c r="D14" s="108"/>
      <c r="E14" s="108"/>
      <c r="G14" s="117" t="s">
        <v>140</v>
      </c>
      <c r="H14" s="108"/>
      <c r="I14" s="108"/>
      <c r="J14" s="108"/>
      <c r="K14" s="108"/>
      <c r="P14" s="30" t="s">
        <v>76</v>
      </c>
      <c r="Q14">
        <f ca="1">IFERROR(1/$Q$12,0)</f>
        <v>99.270218934252426</v>
      </c>
      <c r="S14" s="31"/>
    </row>
    <row r="15" spans="1:32" x14ac:dyDescent="0.25">
      <c r="A15" s="34" t="s">
        <v>8</v>
      </c>
      <c r="B15" s="34" t="s">
        <v>63</v>
      </c>
      <c r="C15" s="34" t="s">
        <v>64</v>
      </c>
      <c r="D15" s="34" t="s">
        <v>65</v>
      </c>
      <c r="E15" s="34" t="s">
        <v>5</v>
      </c>
      <c r="G15" s="29" t="s">
        <v>8</v>
      </c>
      <c r="H15" s="29" t="s">
        <v>63</v>
      </c>
      <c r="I15" s="29" t="s">
        <v>64</v>
      </c>
      <c r="J15" s="29" t="s">
        <v>65</v>
      </c>
      <c r="K15" s="29" t="s">
        <v>5</v>
      </c>
      <c r="P15" s="26" t="s">
        <v>105</v>
      </c>
      <c r="Q15" s="25" cm="1">
        <f t="array" aca="1" ref="Q15" ca="1">IFERROR((INDIRECT("'"&amp;$Q$3&amp;"'!A"&amp;$Q$13)-INDIRECT("'"&amp;$Q$3&amp;"'!A2"))*86400,0)</f>
        <v>10.003000000006779</v>
      </c>
      <c r="R15" s="25"/>
      <c r="S15" s="32"/>
    </row>
    <row r="16" spans="1:32" x14ac:dyDescent="0.25">
      <c r="A16" s="7" t="s">
        <v>110</v>
      </c>
      <c r="B16" s="7">
        <f ca="1">IFERROR(#REF!*$Q$12*1000000,0)</f>
        <v>0</v>
      </c>
      <c r="C16" s="7">
        <f ca="1">B16/1000</f>
        <v>0</v>
      </c>
      <c r="D16" s="7">
        <f ca="1">C16/1000</f>
        <v>0</v>
      </c>
      <c r="E16" s="7" t="s">
        <v>113</v>
      </c>
      <c r="G16" s="7" t="s">
        <v>110</v>
      </c>
      <c r="H16" s="7">
        <f ca="1">IFERROR(#REF!*$Q$12*1000000,0)</f>
        <v>0</v>
      </c>
      <c r="I16" s="7">
        <f ca="1">H16/1000</f>
        <v>0</v>
      </c>
      <c r="J16" s="7">
        <f ca="1">I16/1000</f>
        <v>0</v>
      </c>
      <c r="K16" s="7" t="s">
        <v>113</v>
      </c>
    </row>
    <row r="17" spans="1:19" x14ac:dyDescent="0.25">
      <c r="A17" s="7" t="s">
        <v>111</v>
      </c>
      <c r="B17" s="7">
        <f ca="1">IFERROR((B7/B10)*$Q$12*1000000,0)</f>
        <v>0</v>
      </c>
      <c r="C17" s="7">
        <f ca="1">B17/1000</f>
        <v>0</v>
      </c>
      <c r="D17" s="7">
        <f ca="1">C17/1000</f>
        <v>0</v>
      </c>
      <c r="E17" s="7" t="s">
        <v>114</v>
      </c>
      <c r="G17" s="7" t="s">
        <v>111</v>
      </c>
      <c r="H17" s="7">
        <f ca="1">IFERROR((H7/H10)*$Q$12*1000000,0)</f>
        <v>211231729.16429219</v>
      </c>
      <c r="I17" s="7">
        <f ca="1">H17/1000</f>
        <v>211231.72916429219</v>
      </c>
      <c r="J17" s="7">
        <f ca="1">I17/1000</f>
        <v>211.2317291642922</v>
      </c>
      <c r="K17" s="7" t="s">
        <v>114</v>
      </c>
    </row>
    <row r="18" spans="1:19" x14ac:dyDescent="0.25">
      <c r="A18" s="7" t="s">
        <v>112</v>
      </c>
      <c r="B18" s="7">
        <f ca="1">B16+B17</f>
        <v>0</v>
      </c>
      <c r="C18" s="7">
        <f ca="1">C16+C17</f>
        <v>0</v>
      </c>
      <c r="D18" s="7">
        <f ca="1">D16+D17</f>
        <v>0</v>
      </c>
      <c r="E18" s="7" t="s">
        <v>103</v>
      </c>
      <c r="G18" s="7" t="s">
        <v>112</v>
      </c>
      <c r="H18" s="7">
        <f ca="1">H16+H17</f>
        <v>211231729.16429219</v>
      </c>
      <c r="I18" s="7">
        <f ca="1">I16+I17</f>
        <v>211231.72916429219</v>
      </c>
      <c r="J18" s="7">
        <f ca="1">J16+J17</f>
        <v>211.2317291642922</v>
      </c>
      <c r="K18" s="7" t="s">
        <v>103</v>
      </c>
      <c r="P18" s="123" t="s">
        <v>77</v>
      </c>
      <c r="Q18" s="108"/>
      <c r="R18" s="108"/>
      <c r="S18" s="108"/>
    </row>
    <row r="19" spans="1:19" x14ac:dyDescent="0.25">
      <c r="A19" s="7" t="s">
        <v>48</v>
      </c>
      <c r="B19" s="7">
        <f ca="1">$Q$12*1000000</f>
        <v>10073.514602222334</v>
      </c>
      <c r="C19" s="7">
        <f ca="1">B19/1000</f>
        <v>10.073514602222334</v>
      </c>
      <c r="D19" s="7">
        <f ca="1">C19/1000</f>
        <v>1.0073514602222333E-2</v>
      </c>
      <c r="E19" s="7" t="s">
        <v>70</v>
      </c>
      <c r="G19" s="7" t="s">
        <v>48</v>
      </c>
      <c r="H19" s="7">
        <f ca="1">$Q$12*1000000</f>
        <v>10073.514602222334</v>
      </c>
      <c r="I19" s="7">
        <f ca="1">H19/1000</f>
        <v>10.073514602222334</v>
      </c>
      <c r="J19" s="7">
        <f ca="1">I19/1000</f>
        <v>1.0073514602222333E-2</v>
      </c>
      <c r="K19" s="7" t="s">
        <v>70</v>
      </c>
      <c r="P19" s="34" t="s">
        <v>39</v>
      </c>
      <c r="Q19" s="34" t="s">
        <v>78</v>
      </c>
      <c r="R19" s="34" t="s">
        <v>79</v>
      </c>
      <c r="S19" s="34" t="s">
        <v>9</v>
      </c>
    </row>
    <row r="20" spans="1:19" x14ac:dyDescent="0.25">
      <c r="A20" s="7" t="s">
        <v>49</v>
      </c>
      <c r="B20" s="7">
        <f ca="1">B16*2</f>
        <v>0</v>
      </c>
      <c r="C20" s="7">
        <f ca="1">B20/1000</f>
        <v>0</v>
      </c>
      <c r="D20" s="7">
        <f ca="1">C20/1000</f>
        <v>0</v>
      </c>
      <c r="E20" s="7" t="s">
        <v>71</v>
      </c>
      <c r="G20" s="7" t="s">
        <v>49</v>
      </c>
      <c r="H20" s="7">
        <f ca="1">H16*2</f>
        <v>0</v>
      </c>
      <c r="I20" s="7">
        <f ca="1">H20/1000</f>
        <v>0</v>
      </c>
      <c r="J20" s="7">
        <f ca="1">I20/1000</f>
        <v>0</v>
      </c>
      <c r="K20" s="7" t="s">
        <v>71</v>
      </c>
      <c r="P20" s="7" t="s">
        <v>80</v>
      </c>
      <c r="Q20" s="7" t="s">
        <v>81</v>
      </c>
      <c r="R20" s="7" t="s">
        <v>82</v>
      </c>
      <c r="S20" s="7" t="s">
        <v>83</v>
      </c>
    </row>
    <row r="21" spans="1:19" x14ac:dyDescent="0.25">
      <c r="P21" s="7" t="s">
        <v>84</v>
      </c>
      <c r="Q21" s="7" t="s">
        <v>81</v>
      </c>
      <c r="R21" s="7" t="s">
        <v>85</v>
      </c>
      <c r="S21" s="7" t="s">
        <v>86</v>
      </c>
    </row>
    <row r="22" spans="1:19" x14ac:dyDescent="0.25">
      <c r="P22" s="7" t="s">
        <v>87</v>
      </c>
      <c r="Q22" s="7" t="s">
        <v>88</v>
      </c>
      <c r="R22" s="7" t="s">
        <v>82</v>
      </c>
      <c r="S22" s="7" t="s">
        <v>89</v>
      </c>
    </row>
    <row r="23" spans="1:19" x14ac:dyDescent="0.25">
      <c r="P23" s="7" t="s">
        <v>90</v>
      </c>
      <c r="Q23" s="7" t="s">
        <v>91</v>
      </c>
      <c r="R23" s="7" t="s">
        <v>92</v>
      </c>
      <c r="S23" s="7" t="s">
        <v>93</v>
      </c>
    </row>
    <row r="24" spans="1:19" ht="15.75" x14ac:dyDescent="0.25">
      <c r="A24" s="107" t="s">
        <v>136</v>
      </c>
      <c r="B24" s="108"/>
      <c r="C24" s="108"/>
      <c r="D24" s="108"/>
      <c r="G24" s="109" t="s">
        <v>141</v>
      </c>
      <c r="H24" s="108"/>
      <c r="I24" s="108"/>
      <c r="J24" s="108"/>
      <c r="K24" s="108"/>
      <c r="L24" s="7"/>
      <c r="P24" s="7" t="s">
        <v>94</v>
      </c>
      <c r="Q24" s="7" t="s">
        <v>91</v>
      </c>
      <c r="R24" s="7" t="s">
        <v>85</v>
      </c>
      <c r="S24" s="7" t="s">
        <v>95</v>
      </c>
    </row>
    <row r="25" spans="1:19" x14ac:dyDescent="0.25">
      <c r="A25" s="9" t="s">
        <v>8</v>
      </c>
      <c r="B25" s="9" t="s">
        <v>23</v>
      </c>
      <c r="C25" s="9" t="s">
        <v>39</v>
      </c>
      <c r="D25" s="9" t="s">
        <v>5</v>
      </c>
      <c r="G25" s="37" t="s">
        <v>8</v>
      </c>
      <c r="H25" s="37" t="s">
        <v>115</v>
      </c>
      <c r="I25" s="37" t="s">
        <v>116</v>
      </c>
      <c r="J25" s="37" t="s">
        <v>117</v>
      </c>
      <c r="K25" s="37" t="s">
        <v>39</v>
      </c>
      <c r="L25" s="37" t="s">
        <v>118</v>
      </c>
      <c r="P25" s="7" t="s">
        <v>96</v>
      </c>
      <c r="Q25" s="7" t="s">
        <v>97</v>
      </c>
      <c r="R25" s="7" t="s">
        <v>92</v>
      </c>
      <c r="S25" s="7" t="s">
        <v>98</v>
      </c>
    </row>
    <row r="26" spans="1:19" x14ac:dyDescent="0.25">
      <c r="A26" s="7" t="s">
        <v>24</v>
      </c>
      <c r="B26" s="36">
        <v>100</v>
      </c>
      <c r="C26" s="7" t="s">
        <v>44</v>
      </c>
      <c r="D26" s="7" t="s">
        <v>123</v>
      </c>
      <c r="G26" s="7" t="s">
        <v>119</v>
      </c>
      <c r="H26" s="7">
        <f ca="1">B6</f>
        <v>0</v>
      </c>
      <c r="I26" s="7">
        <f ca="1">H6</f>
        <v>124</v>
      </c>
      <c r="J26" s="7">
        <f ca="1">ABS(I26-H26)</f>
        <v>124</v>
      </c>
      <c r="K26" s="7" t="s">
        <v>41</v>
      </c>
      <c r="L26" s="7" t="str">
        <f ca="1">IF(I26&gt;H26,"IN_2 &gt; IN_1",IF(H26&gt;I26,"IN_1 &gt; IN_2","Bằng nhau"))</f>
        <v>IN_2 &gt; IN_1</v>
      </c>
    </row>
    <row r="27" spans="1:19" x14ac:dyDescent="0.25">
      <c r="A27" s="7" t="s">
        <v>25</v>
      </c>
      <c r="B27" s="36">
        <v>6</v>
      </c>
      <c r="C27" s="7" t="s">
        <v>26</v>
      </c>
      <c r="D27" s="7" t="s">
        <v>123</v>
      </c>
      <c r="G27" s="7" t="s">
        <v>14</v>
      </c>
      <c r="H27" s="7">
        <f ca="1">B8</f>
        <v>0</v>
      </c>
      <c r="I27" s="7">
        <f ca="1">H8</f>
        <v>12.474849094567404</v>
      </c>
      <c r="J27" s="7">
        <f ca="1">ABS(I27-H27)</f>
        <v>12.474849094567404</v>
      </c>
      <c r="K27" s="7" t="s">
        <v>30</v>
      </c>
      <c r="L27" s="7" t="str">
        <f ca="1">IF(I27&gt;H27,"IN_2 &gt; IN_1",IF(H27&gt;I27,"IN_1 &gt; IN_2","Bằng nhau"))</f>
        <v>IN_2 &gt; IN_1</v>
      </c>
    </row>
    <row r="28" spans="1:19" x14ac:dyDescent="0.25">
      <c r="A28" s="7" t="s">
        <v>34</v>
      </c>
      <c r="B28" s="36">
        <v>1</v>
      </c>
      <c r="C28" s="7" t="s">
        <v>26</v>
      </c>
      <c r="D28" s="7" t="s">
        <v>123</v>
      </c>
      <c r="G28" s="7" t="s">
        <v>120</v>
      </c>
      <c r="H28" s="7">
        <f ca="1">B9</f>
        <v>0</v>
      </c>
      <c r="I28" s="7">
        <f ca="1">H9</f>
        <v>50</v>
      </c>
      <c r="J28" s="7">
        <f ca="1">ABS(I28-H28)</f>
        <v>50</v>
      </c>
      <c r="K28" s="7" t="s">
        <v>42</v>
      </c>
      <c r="L28" s="7" t="str">
        <f ca="1">IF(I28&gt;H28,"IN_2 &gt; IN_1",IF(H28&gt;I28,"IN_1 &gt; IN_2","Bằng nhau"))</f>
        <v>IN_2 &gt; IN_1</v>
      </c>
      <c r="P28" s="126" t="s">
        <v>99</v>
      </c>
      <c r="Q28" s="127"/>
      <c r="R28" s="127"/>
      <c r="S28" s="128"/>
    </row>
    <row r="29" spans="1:19" x14ac:dyDescent="0.25">
      <c r="A29" s="7" t="s">
        <v>31</v>
      </c>
      <c r="B29" s="7">
        <f ca="1">$Q$15</f>
        <v>10.003000000006779</v>
      </c>
      <c r="C29" s="7" t="s">
        <v>43</v>
      </c>
      <c r="D29" s="7"/>
      <c r="G29" s="7" t="s">
        <v>121</v>
      </c>
      <c r="H29" s="7">
        <f ca="1">C16</f>
        <v>0</v>
      </c>
      <c r="I29" s="7">
        <f ca="1">I16</f>
        <v>0</v>
      </c>
      <c r="J29" s="7">
        <f ca="1">ABS(I29-H29)</f>
        <v>0</v>
      </c>
      <c r="K29" s="7" t="s">
        <v>40</v>
      </c>
      <c r="L29" s="7" t="str">
        <f ca="1">IF(I29&gt;H29,"IN_2 &gt; IN_1",IF(H29&gt;I29,"IN_1 &gt; IN_2","Bằng nhau"))</f>
        <v>Bằng nhau</v>
      </c>
      <c r="P29" s="121" t="s">
        <v>125</v>
      </c>
      <c r="Q29" s="111"/>
      <c r="R29" s="111"/>
      <c r="S29" s="119"/>
    </row>
    <row r="30" spans="1:19" x14ac:dyDescent="0.25">
      <c r="A30" s="7" t="s">
        <v>27</v>
      </c>
      <c r="B30" s="7">
        <f ca="1">(B26/60)*B29</f>
        <v>16.671666666677964</v>
      </c>
      <c r="C30" s="7" t="s">
        <v>45</v>
      </c>
      <c r="D30" s="7"/>
      <c r="G30" s="7"/>
      <c r="H30" s="7"/>
      <c r="I30" s="7"/>
      <c r="J30" s="7"/>
      <c r="K30" s="7"/>
      <c r="L30" s="7"/>
      <c r="P30" s="121" t="s">
        <v>126</v>
      </c>
      <c r="Q30" s="111"/>
      <c r="R30" s="111"/>
      <c r="S30" s="119"/>
    </row>
    <row r="31" spans="1:19" x14ac:dyDescent="0.25">
      <c r="A31" s="7" t="s">
        <v>124</v>
      </c>
      <c r="B31" s="7">
        <f ca="1">ROUNDDOWN(B30*B27,0)</f>
        <v>100</v>
      </c>
      <c r="C31" s="7" t="s">
        <v>46</v>
      </c>
      <c r="D31" s="7"/>
      <c r="G31" s="13" t="s">
        <v>144</v>
      </c>
      <c r="H31" s="7">
        <f ca="1">IFERROR(MIN(B9,B32)/MAX(B9,B32)*100,0)</f>
        <v>0</v>
      </c>
      <c r="I31" s="7">
        <f ca="1">IFERROR(MIN(H9,B32)/MAX(H9,B32)*100,0)</f>
        <v>32</v>
      </c>
      <c r="J31" s="7"/>
      <c r="K31" s="7" t="s">
        <v>30</v>
      </c>
      <c r="L31" s="7"/>
      <c r="P31" s="121" t="s">
        <v>127</v>
      </c>
      <c r="Q31" s="111"/>
      <c r="R31" s="111"/>
      <c r="S31" s="119"/>
    </row>
    <row r="32" spans="1:19" x14ac:dyDescent="0.25">
      <c r="A32" s="7" t="s">
        <v>38</v>
      </c>
      <c r="B32" s="7">
        <f ca="1">ROUNDDOWN(B30*B28,0)</f>
        <v>16</v>
      </c>
      <c r="C32" s="7" t="s">
        <v>33</v>
      </c>
      <c r="D32" s="7"/>
      <c r="P32" s="121" t="s">
        <v>128</v>
      </c>
      <c r="Q32" s="111"/>
      <c r="R32" s="111"/>
      <c r="S32" s="119"/>
    </row>
    <row r="33" spans="1:19" x14ac:dyDescent="0.25">
      <c r="P33" s="129" t="s">
        <v>129</v>
      </c>
      <c r="Q33" s="130"/>
      <c r="R33" s="130"/>
      <c r="S33" s="131"/>
    </row>
    <row r="35" spans="1:19" ht="15.75" x14ac:dyDescent="0.25">
      <c r="A35" s="124" t="s">
        <v>142</v>
      </c>
      <c r="B35" s="124"/>
      <c r="C35" s="124"/>
      <c r="D35" s="124"/>
      <c r="E35" s="124"/>
      <c r="G35" s="125" t="s">
        <v>143</v>
      </c>
      <c r="H35" s="108"/>
      <c r="I35" s="108"/>
      <c r="J35" s="108"/>
      <c r="K35" s="108"/>
    </row>
    <row r="36" spans="1:19" x14ac:dyDescent="0.25">
      <c r="A36" s="33" t="s">
        <v>3</v>
      </c>
      <c r="B36" s="33" t="s">
        <v>0</v>
      </c>
      <c r="C36" s="33" t="s">
        <v>4</v>
      </c>
      <c r="D36" s="33" t="s">
        <v>20</v>
      </c>
      <c r="E36" s="33" t="s">
        <v>53</v>
      </c>
      <c r="G36" s="35" t="s">
        <v>3</v>
      </c>
      <c r="H36" s="35" t="s">
        <v>0</v>
      </c>
      <c r="I36" s="35" t="s">
        <v>4</v>
      </c>
      <c r="J36" s="35" t="s">
        <v>20</v>
      </c>
      <c r="K36" s="35" t="s">
        <v>53</v>
      </c>
    </row>
    <row r="37" spans="1:19" x14ac:dyDescent="0.25">
      <c r="A37" s="7">
        <v>1</v>
      </c>
      <c r="B37" s="7" cm="1">
        <f t="array" aca="1" ref="B37" ca="1">IFERROR(_xlfn.AGGREGATE(15,6,ROW(INDIRECT("'"&amp;$Q$3&amp;"'!"&amp;$Q$6&amp;"2:"&amp;$Q$6&amp;"1000"))/(INDIRECT("'"&amp;$Q$3&amp;"'!"&amp;$Q$6&amp;"2:"&amp;$Q$6&amp;"1000")&lt;&gt;INDIRECT("'"&amp;$Q$3&amp;"'!"&amp;$Q$6&amp;"1:"&amp;$Q$6&amp;"999")),1),"")</f>
        <v>2</v>
      </c>
      <c r="C37" s="7" t="str" cm="1">
        <f t="array" aca="1" ref="C37" ca="1">IF(B37="","",IF(INDIRECT("'"&amp;$Q$3&amp;"'!"&amp;$Q$6&amp;B37)=1,"ON","OFF"))</f>
        <v>OFF</v>
      </c>
      <c r="D37" s="7" t="e" cm="1">
        <f t="array" aca="1" ref="D37" ca="1">IF(B37="","",(INDIRECT("'"&amp;$Q$3&amp;"'!A"&amp;B37)-INDIRECT("'"&amp;$Q$3&amp;"'!A1"))*86400)</f>
        <v>#VALUE!</v>
      </c>
      <c r="E37" s="7" t="str">
        <f t="shared" ref="E37:E76" ca="1" si="0">IF(OR(B37="",B38=""),"",(D38-D37)*1000)</f>
        <v/>
      </c>
      <c r="G37" s="7">
        <v>1</v>
      </c>
      <c r="H37" s="7" cm="1">
        <f t="array" aca="1" ref="H37" ca="1">IFERROR(_xlfn.AGGREGATE(15,6,ROW(INDIRECT("'"&amp;$Q$3&amp;"'!"&amp;$Q$7&amp;"2:"&amp;$Q$7&amp;"1000"))/(INDIRECT("'"&amp;$Q$3&amp;"'!"&amp;$Q$7&amp;"2:"&amp;$Q$7&amp;"1000")&lt;&gt;INDIRECT("'"&amp;$Q$3&amp;"'!"&amp;$Q$7&amp;"1:"&amp;$Q$7&amp;"999")),1),"")</f>
        <v>2</v>
      </c>
      <c r="I37" s="7" t="str" cm="1">
        <f t="array" aca="1" ref="I37" ca="1">IF(H37="","",IF(INDIRECT("'"&amp;$Q$3&amp;"'!"&amp;$Q$7&amp;H37)=1,"ON","OFF"))</f>
        <v>OFF</v>
      </c>
      <c r="J37" s="7" t="e" cm="1">
        <f t="array" aca="1" ref="J37" ca="1">IF(H37="","",(INDIRECT("'"&amp;$Q$3&amp;"'!A"&amp;H37)-INDIRECT("'"&amp;$Q$3&amp;"'!A1"))*86400)</f>
        <v>#VALUE!</v>
      </c>
      <c r="K37" s="7" t="e">
        <f t="shared" ref="K37:K76" ca="1" si="1">IF(OR(H37="",H38=""),"",(J38-J37)*1000)</f>
        <v>#VALUE!</v>
      </c>
    </row>
    <row r="38" spans="1:19" x14ac:dyDescent="0.25">
      <c r="A38" s="7">
        <v>2</v>
      </c>
      <c r="B38" s="7" t="str" cm="1">
        <f t="array" aca="1" ref="B38" ca="1">IFERROR(_xlfn.AGGREGATE(15,6,ROW(INDIRECT("'"&amp;$Q$3&amp;"'!"&amp;$Q$6&amp;"2:"&amp;$Q$6&amp;"1000"))/(INDIRECT("'"&amp;$Q$3&amp;"'!"&amp;$Q$6&amp;"2:"&amp;$Q$6&amp;"1000")&lt;&gt;INDIRECT("'"&amp;$Q$3&amp;"'!"&amp;$Q$6&amp;"1:"&amp;$Q$6&amp;"999")),2),"")</f>
        <v/>
      </c>
      <c r="C38" s="7" t="str" cm="1">
        <f t="array" aca="1" ref="C38" ca="1">IF(B38="","",IF(INDIRECT("'"&amp;$Q$3&amp;"'!"&amp;$Q$6&amp;B38)=1,"ON","OFF"))</f>
        <v/>
      </c>
      <c r="D38" s="7" t="str" cm="1">
        <f t="array" aca="1" ref="D38" ca="1">IF(B38="","",(INDIRECT("'"&amp;$Q$3&amp;"'!A"&amp;B38)-INDIRECT("'"&amp;$Q$3&amp;"'!A1"))*86400)</f>
        <v/>
      </c>
      <c r="E38" s="7" t="str">
        <f t="shared" ca="1" si="0"/>
        <v/>
      </c>
      <c r="G38" s="7">
        <v>2</v>
      </c>
      <c r="H38" s="7" cm="1">
        <f t="array" aca="1" ref="H38" ca="1">IFERROR(_xlfn.AGGREGATE(15,6,ROW(INDIRECT("'"&amp;$Q$3&amp;"'!"&amp;$Q$7&amp;"2:"&amp;$Q$7&amp;"1000"))/(INDIRECT("'"&amp;$Q$3&amp;"'!"&amp;$Q$7&amp;"2:"&amp;$Q$7&amp;"1000")&lt;&gt;INDIRECT("'"&amp;$Q$3&amp;"'!"&amp;$Q$7&amp;"1:"&amp;$Q$7&amp;"999")),2),"")</f>
        <v>7</v>
      </c>
      <c r="I38" s="7" t="str" cm="1">
        <f t="array" aca="1" ref="I38" ca="1">IF(H38="","",IF(INDIRECT("'"&amp;$Q$3&amp;"'!"&amp;$Q$7&amp;H38)=1,"ON","OFF"))</f>
        <v>ON</v>
      </c>
      <c r="J38" s="7" t="e" cm="1">
        <f t="array" aca="1" ref="J38" ca="1">IF(H38="","",(INDIRECT("'"&amp;$Q$3&amp;"'!A"&amp;H38)-INDIRECT("'"&amp;$Q$3&amp;"'!A1"))*86400)</f>
        <v>#VALUE!</v>
      </c>
      <c r="K38" s="7" t="e">
        <f t="shared" ca="1" si="1"/>
        <v>#VALUE!</v>
      </c>
    </row>
    <row r="39" spans="1:19" x14ac:dyDescent="0.25">
      <c r="A39" s="7">
        <v>3</v>
      </c>
      <c r="B39" s="7" t="str" cm="1">
        <f t="array" aca="1" ref="B39" ca="1">IFERROR(_xlfn.AGGREGATE(15,6,ROW(INDIRECT("'"&amp;$Q$3&amp;"'!"&amp;$Q$6&amp;"2:"&amp;$Q$6&amp;"1000"))/(INDIRECT("'"&amp;$Q$3&amp;"'!"&amp;$Q$6&amp;"2:"&amp;$Q$6&amp;"1000")&lt;&gt;INDIRECT("'"&amp;$Q$3&amp;"'!"&amp;$Q$6&amp;"1:"&amp;$Q$6&amp;"999")),3),"")</f>
        <v/>
      </c>
      <c r="C39" s="7" t="str" cm="1">
        <f t="array" aca="1" ref="C39" ca="1">IF(B39="","",IF(INDIRECT("'"&amp;$Q$3&amp;"'!"&amp;$Q$6&amp;B39)=1,"ON","OFF"))</f>
        <v/>
      </c>
      <c r="D39" s="7" t="str" cm="1">
        <f t="array" aca="1" ref="D39" ca="1">IF(B39="","",(INDIRECT("'"&amp;$Q$3&amp;"'!A"&amp;B39)-INDIRECT("'"&amp;$Q$3&amp;"'!A1"))*86400)</f>
        <v/>
      </c>
      <c r="E39" s="7" t="str">
        <f t="shared" ca="1" si="0"/>
        <v/>
      </c>
      <c r="G39" s="7">
        <v>3</v>
      </c>
      <c r="H39" s="7" cm="1">
        <f t="array" aca="1" ref="H39" ca="1">IFERROR(_xlfn.AGGREGATE(15,6,ROW(INDIRECT("'"&amp;$Q$3&amp;"'!"&amp;$Q$7&amp;"2:"&amp;$Q$7&amp;"1000"))/(INDIRECT("'"&amp;$Q$3&amp;"'!"&amp;$Q$7&amp;"2:"&amp;$Q$7&amp;"1000")&lt;&gt;INDIRECT("'"&amp;$Q$3&amp;"'!"&amp;$Q$7&amp;"1:"&amp;$Q$7&amp;"999")),3),"")</f>
        <v>10</v>
      </c>
      <c r="I39" s="7" t="str" cm="1">
        <f t="array" aca="1" ref="I39" ca="1">IF(H39="","",IF(INDIRECT("'"&amp;$Q$3&amp;"'!"&amp;$Q$7&amp;H39)=1,"ON","OFF"))</f>
        <v>OFF</v>
      </c>
      <c r="J39" s="7" t="e" cm="1">
        <f t="array" aca="1" ref="J39" ca="1">IF(H39="","",(INDIRECT("'"&amp;$Q$3&amp;"'!A"&amp;H39)-INDIRECT("'"&amp;$Q$3&amp;"'!A1"))*86400)</f>
        <v>#VALUE!</v>
      </c>
      <c r="K39" s="7" t="e">
        <f t="shared" ca="1" si="1"/>
        <v>#VALUE!</v>
      </c>
    </row>
    <row r="40" spans="1:19" x14ac:dyDescent="0.25">
      <c r="A40" s="7">
        <v>4</v>
      </c>
      <c r="B40" s="7" t="str" cm="1">
        <f t="array" aca="1" ref="B40" ca="1">IFERROR(_xlfn.AGGREGATE(15,6,ROW(INDIRECT("'"&amp;$Q$3&amp;"'!"&amp;$Q$6&amp;"2:"&amp;$Q$6&amp;"1000"))/(INDIRECT("'"&amp;$Q$3&amp;"'!"&amp;$Q$6&amp;"2:"&amp;$Q$6&amp;"1000")&lt;&gt;INDIRECT("'"&amp;$Q$3&amp;"'!"&amp;$Q$6&amp;"1:"&amp;$Q$6&amp;"999")),4),"")</f>
        <v/>
      </c>
      <c r="C40" s="7" t="str" cm="1">
        <f t="array" aca="1" ref="C40" ca="1">IF(B40="","",IF(INDIRECT("'"&amp;$Q$3&amp;"'!"&amp;$Q$6&amp;B40)=1,"ON","OFF"))</f>
        <v/>
      </c>
      <c r="D40" s="7" t="str" cm="1">
        <f t="array" aca="1" ref="D40" ca="1">IF(B40="","",(INDIRECT("'"&amp;$Q$3&amp;"'!A"&amp;B40)-INDIRECT("'"&amp;$Q$3&amp;"'!A1"))*86400)</f>
        <v/>
      </c>
      <c r="E40" s="7" t="str">
        <f t="shared" ca="1" si="0"/>
        <v/>
      </c>
      <c r="G40" s="7">
        <v>4</v>
      </c>
      <c r="H40" s="7" cm="1">
        <f t="array" aca="1" ref="H40" ca="1">IFERROR(_xlfn.AGGREGATE(15,6,ROW(INDIRECT("'"&amp;$Q$3&amp;"'!"&amp;$Q$7&amp;"2:"&amp;$Q$7&amp;"1000"))/(INDIRECT("'"&amp;$Q$3&amp;"'!"&amp;$Q$7&amp;"2:"&amp;$Q$7&amp;"1000")&lt;&gt;INDIRECT("'"&amp;$Q$3&amp;"'!"&amp;$Q$7&amp;"1:"&amp;$Q$7&amp;"999")),4),"")</f>
        <v>27</v>
      </c>
      <c r="I40" s="7" t="str" cm="1">
        <f t="array" aca="1" ref="I40" ca="1">IF(H40="","",IF(INDIRECT("'"&amp;$Q$3&amp;"'!"&amp;$Q$7&amp;H40)=1,"ON","OFF"))</f>
        <v>ON</v>
      </c>
      <c r="J40" s="7" t="e" cm="1">
        <f t="array" aca="1" ref="J40" ca="1">IF(H40="","",(INDIRECT("'"&amp;$Q$3&amp;"'!A"&amp;H40)-INDIRECT("'"&amp;$Q$3&amp;"'!A1"))*86400)</f>
        <v>#VALUE!</v>
      </c>
      <c r="K40" s="7" t="e">
        <f t="shared" ca="1" si="1"/>
        <v>#VALUE!</v>
      </c>
    </row>
    <row r="41" spans="1:19" x14ac:dyDescent="0.25">
      <c r="A41" s="7">
        <v>5</v>
      </c>
      <c r="B41" s="7" t="str" cm="1">
        <f t="array" aca="1" ref="B41" ca="1">IFERROR(_xlfn.AGGREGATE(15,6,ROW(INDIRECT("'"&amp;$Q$3&amp;"'!"&amp;$Q$6&amp;"2:"&amp;$Q$6&amp;"1000"))/(INDIRECT("'"&amp;$Q$3&amp;"'!"&amp;$Q$6&amp;"2:"&amp;$Q$6&amp;"1000")&lt;&gt;INDIRECT("'"&amp;$Q$3&amp;"'!"&amp;$Q$6&amp;"1:"&amp;$Q$6&amp;"999")),5),"")</f>
        <v/>
      </c>
      <c r="C41" s="7" t="str" cm="1">
        <f t="array" aca="1" ref="C41" ca="1">IF(B41="","",IF(INDIRECT("'"&amp;$Q$3&amp;"'!"&amp;$Q$6&amp;B41)=1,"ON","OFF"))</f>
        <v/>
      </c>
      <c r="D41" s="7" t="str" cm="1">
        <f t="array" aca="1" ref="D41" ca="1">IF(B41="","",(INDIRECT("'"&amp;$Q$3&amp;"'!A"&amp;B41)-INDIRECT("'"&amp;$Q$3&amp;"'!A1"))*86400)</f>
        <v/>
      </c>
      <c r="E41" s="7" t="str">
        <f t="shared" ca="1" si="0"/>
        <v/>
      </c>
      <c r="G41" s="7">
        <v>5</v>
      </c>
      <c r="H41" s="7" cm="1">
        <f t="array" aca="1" ref="H41" ca="1">IFERROR(_xlfn.AGGREGATE(15,6,ROW(INDIRECT("'"&amp;$Q$3&amp;"'!"&amp;$Q$7&amp;"2:"&amp;$Q$7&amp;"1000"))/(INDIRECT("'"&amp;$Q$3&amp;"'!"&amp;$Q$7&amp;"2:"&amp;$Q$7&amp;"1000")&lt;&gt;INDIRECT("'"&amp;$Q$3&amp;"'!"&amp;$Q$7&amp;"1:"&amp;$Q$7&amp;"999")),5),"")</f>
        <v>30</v>
      </c>
      <c r="I41" s="7" t="str" cm="1">
        <f t="array" aca="1" ref="I41" ca="1">IF(H41="","",IF(INDIRECT("'"&amp;$Q$3&amp;"'!"&amp;$Q$7&amp;H41)=1,"ON","OFF"))</f>
        <v>OFF</v>
      </c>
      <c r="J41" s="7" t="e" cm="1">
        <f t="array" aca="1" ref="J41" ca="1">IF(H41="","",(INDIRECT("'"&amp;$Q$3&amp;"'!A"&amp;H41)-INDIRECT("'"&amp;$Q$3&amp;"'!A1"))*86400)</f>
        <v>#VALUE!</v>
      </c>
      <c r="K41" s="7" t="e">
        <f t="shared" ca="1" si="1"/>
        <v>#VALUE!</v>
      </c>
    </row>
    <row r="42" spans="1:19" x14ac:dyDescent="0.25">
      <c r="A42" s="7">
        <v>6</v>
      </c>
      <c r="B42" s="7" t="str" cm="1">
        <f t="array" aca="1" ref="B42" ca="1">IFERROR(_xlfn.AGGREGATE(15,6,ROW(INDIRECT("'"&amp;$Q$3&amp;"'!"&amp;$Q$6&amp;"2:"&amp;$Q$6&amp;"1000"))/(INDIRECT("'"&amp;$Q$3&amp;"'!"&amp;$Q$6&amp;"2:"&amp;$Q$6&amp;"1000")&lt;&gt;INDIRECT("'"&amp;$Q$3&amp;"'!"&amp;$Q$6&amp;"1:"&amp;$Q$6&amp;"999")),6),"")</f>
        <v/>
      </c>
      <c r="C42" s="7" t="str" cm="1">
        <f t="array" aca="1" ref="C42" ca="1">IF(B42="","",IF(INDIRECT("'"&amp;$Q$3&amp;"'!"&amp;$Q$6&amp;B42)=1,"ON","OFF"))</f>
        <v/>
      </c>
      <c r="D42" s="7" t="str" cm="1">
        <f t="array" aca="1" ref="D42" ca="1">IF(B42="","",(INDIRECT("'"&amp;$Q$3&amp;"'!A"&amp;B42)-INDIRECT("'"&amp;$Q$3&amp;"'!A1"))*86400)</f>
        <v/>
      </c>
      <c r="E42" s="7" t="str">
        <f t="shared" ca="1" si="0"/>
        <v/>
      </c>
      <c r="G42" s="7">
        <v>6</v>
      </c>
      <c r="H42" s="7" cm="1">
        <f t="array" aca="1" ref="H42" ca="1">IFERROR(_xlfn.AGGREGATE(15,6,ROW(INDIRECT("'"&amp;$Q$3&amp;"'!"&amp;$Q$7&amp;"2:"&amp;$Q$7&amp;"1000"))/(INDIRECT("'"&amp;$Q$3&amp;"'!"&amp;$Q$7&amp;"2:"&amp;$Q$7&amp;"1000")&lt;&gt;INDIRECT("'"&amp;$Q$3&amp;"'!"&amp;$Q$7&amp;"1:"&amp;$Q$7&amp;"999")),6),"")</f>
        <v>47</v>
      </c>
      <c r="I42" s="7" t="str" cm="1">
        <f t="array" aca="1" ref="I42" ca="1">IF(H42="","",IF(INDIRECT("'"&amp;$Q$3&amp;"'!"&amp;$Q$7&amp;H42)=1,"ON","OFF"))</f>
        <v>ON</v>
      </c>
      <c r="J42" s="7" t="e" cm="1">
        <f t="array" aca="1" ref="J42" ca="1">IF(H42="","",(INDIRECT("'"&amp;$Q$3&amp;"'!A"&amp;H42)-INDIRECT("'"&amp;$Q$3&amp;"'!A1"))*86400)</f>
        <v>#VALUE!</v>
      </c>
      <c r="K42" s="7" t="e">
        <f t="shared" ca="1" si="1"/>
        <v>#VALUE!</v>
      </c>
    </row>
    <row r="43" spans="1:19" x14ac:dyDescent="0.25">
      <c r="A43" s="7">
        <v>7</v>
      </c>
      <c r="B43" s="7" t="str" cm="1">
        <f t="array" aca="1" ref="B43" ca="1">IFERROR(_xlfn.AGGREGATE(15,6,ROW(INDIRECT("'"&amp;$Q$3&amp;"'!"&amp;$Q$6&amp;"2:"&amp;$Q$6&amp;"1000"))/(INDIRECT("'"&amp;$Q$3&amp;"'!"&amp;$Q$6&amp;"2:"&amp;$Q$6&amp;"1000")&lt;&gt;INDIRECT("'"&amp;$Q$3&amp;"'!"&amp;$Q$6&amp;"1:"&amp;$Q$6&amp;"999")),7),"")</f>
        <v/>
      </c>
      <c r="C43" s="7" t="str" cm="1">
        <f t="array" aca="1" ref="C43" ca="1">IF(B43="","",IF(INDIRECT("'"&amp;$Q$3&amp;"'!"&amp;$Q$6&amp;B43)=1,"ON","OFF"))</f>
        <v/>
      </c>
      <c r="D43" s="7" t="str" cm="1">
        <f t="array" aca="1" ref="D43" ca="1">IF(B43="","",(INDIRECT("'"&amp;$Q$3&amp;"'!A"&amp;B43)-INDIRECT("'"&amp;$Q$3&amp;"'!A1"))*86400)</f>
        <v/>
      </c>
      <c r="E43" s="7" t="str">
        <f t="shared" ca="1" si="0"/>
        <v/>
      </c>
      <c r="G43" s="7">
        <v>7</v>
      </c>
      <c r="H43" s="7" cm="1">
        <f t="array" aca="1" ref="H43" ca="1">IFERROR(_xlfn.AGGREGATE(15,6,ROW(INDIRECT("'"&amp;$Q$3&amp;"'!"&amp;$Q$7&amp;"2:"&amp;$Q$7&amp;"1000"))/(INDIRECT("'"&amp;$Q$3&amp;"'!"&amp;$Q$7&amp;"2:"&amp;$Q$7&amp;"1000")&lt;&gt;INDIRECT("'"&amp;$Q$3&amp;"'!"&amp;$Q$7&amp;"1:"&amp;$Q$7&amp;"999")),7),"")</f>
        <v>50</v>
      </c>
      <c r="I43" s="7" t="str" cm="1">
        <f t="array" aca="1" ref="I43" ca="1">IF(H43="","",IF(INDIRECT("'"&amp;$Q$3&amp;"'!"&amp;$Q$7&amp;H43)=1,"ON","OFF"))</f>
        <v>OFF</v>
      </c>
      <c r="J43" s="7" t="e" cm="1">
        <f t="array" aca="1" ref="J43" ca="1">IF(H43="","",(INDIRECT("'"&amp;$Q$3&amp;"'!A"&amp;H43)-INDIRECT("'"&amp;$Q$3&amp;"'!A1"))*86400)</f>
        <v>#VALUE!</v>
      </c>
      <c r="K43" s="7" t="e">
        <f t="shared" ca="1" si="1"/>
        <v>#VALUE!</v>
      </c>
    </row>
    <row r="44" spans="1:19" x14ac:dyDescent="0.25">
      <c r="A44" s="7">
        <v>8</v>
      </c>
      <c r="B44" s="7" t="str" cm="1">
        <f t="array" aca="1" ref="B44" ca="1">IFERROR(_xlfn.AGGREGATE(15,6,ROW(INDIRECT("'"&amp;$Q$3&amp;"'!"&amp;$Q$6&amp;"2:"&amp;$Q$6&amp;"1000"))/(INDIRECT("'"&amp;$Q$3&amp;"'!"&amp;$Q$6&amp;"2:"&amp;$Q$6&amp;"1000")&lt;&gt;INDIRECT("'"&amp;$Q$3&amp;"'!"&amp;$Q$6&amp;"1:"&amp;$Q$6&amp;"999")),8),"")</f>
        <v/>
      </c>
      <c r="C44" s="7" t="str" cm="1">
        <f t="array" aca="1" ref="C44" ca="1">IF(B44="","",IF(INDIRECT("'"&amp;$Q$3&amp;"'!"&amp;$Q$6&amp;B44)=1,"ON","OFF"))</f>
        <v/>
      </c>
      <c r="D44" s="7" t="str" cm="1">
        <f t="array" aca="1" ref="D44" ca="1">IF(B44="","",(INDIRECT("'"&amp;$Q$3&amp;"'!A"&amp;B44)-INDIRECT("'"&amp;$Q$3&amp;"'!A1"))*86400)</f>
        <v/>
      </c>
      <c r="E44" s="7" t="str">
        <f t="shared" ca="1" si="0"/>
        <v/>
      </c>
      <c r="G44" s="7">
        <v>8</v>
      </c>
      <c r="H44" s="7" cm="1">
        <f t="array" aca="1" ref="H44" ca="1">IFERROR(_xlfn.AGGREGATE(15,6,ROW(INDIRECT("'"&amp;$Q$3&amp;"'!"&amp;$Q$7&amp;"2:"&amp;$Q$7&amp;"1000"))/(INDIRECT("'"&amp;$Q$3&amp;"'!"&amp;$Q$7&amp;"2:"&amp;$Q$7&amp;"1000")&lt;&gt;INDIRECT("'"&amp;$Q$3&amp;"'!"&amp;$Q$7&amp;"1:"&amp;$Q$7&amp;"999")),8),"")</f>
        <v>67</v>
      </c>
      <c r="I44" s="7" t="str" cm="1">
        <f t="array" aca="1" ref="I44" ca="1">IF(H44="","",IF(INDIRECT("'"&amp;$Q$3&amp;"'!"&amp;$Q$7&amp;H44)=1,"ON","OFF"))</f>
        <v>ON</v>
      </c>
      <c r="J44" s="7" t="e" cm="1">
        <f t="array" aca="1" ref="J44" ca="1">IF(H44="","",(INDIRECT("'"&amp;$Q$3&amp;"'!A"&amp;H44)-INDIRECT("'"&amp;$Q$3&amp;"'!A1"))*86400)</f>
        <v>#VALUE!</v>
      </c>
      <c r="K44" s="7" t="e">
        <f t="shared" ca="1" si="1"/>
        <v>#VALUE!</v>
      </c>
    </row>
    <row r="45" spans="1:19" x14ac:dyDescent="0.25">
      <c r="A45" s="7">
        <v>9</v>
      </c>
      <c r="B45" s="7" t="str" cm="1">
        <f t="array" aca="1" ref="B45" ca="1">IFERROR(_xlfn.AGGREGATE(15,6,ROW(INDIRECT("'"&amp;$Q$3&amp;"'!"&amp;$Q$6&amp;"2:"&amp;$Q$6&amp;"1000"))/(INDIRECT("'"&amp;$Q$3&amp;"'!"&amp;$Q$6&amp;"2:"&amp;$Q$6&amp;"1000")&lt;&gt;INDIRECT("'"&amp;$Q$3&amp;"'!"&amp;$Q$6&amp;"1:"&amp;$Q$6&amp;"999")),9),"")</f>
        <v/>
      </c>
      <c r="C45" s="7" t="str" cm="1">
        <f t="array" aca="1" ref="C45" ca="1">IF(B45="","",IF(INDIRECT("'"&amp;$Q$3&amp;"'!"&amp;$Q$6&amp;B45)=1,"ON","OFF"))</f>
        <v/>
      </c>
      <c r="D45" s="7" t="str" cm="1">
        <f t="array" aca="1" ref="D45" ca="1">IF(B45="","",(INDIRECT("'"&amp;$Q$3&amp;"'!A"&amp;B45)-INDIRECT("'"&amp;$Q$3&amp;"'!A1"))*86400)</f>
        <v/>
      </c>
      <c r="E45" s="7" t="str">
        <f t="shared" ca="1" si="0"/>
        <v/>
      </c>
      <c r="G45" s="7">
        <v>9</v>
      </c>
      <c r="H45" s="7" cm="1">
        <f t="array" aca="1" ref="H45" ca="1">IFERROR(_xlfn.AGGREGATE(15,6,ROW(INDIRECT("'"&amp;$Q$3&amp;"'!"&amp;$Q$7&amp;"2:"&amp;$Q$7&amp;"1000"))/(INDIRECT("'"&amp;$Q$3&amp;"'!"&amp;$Q$7&amp;"2:"&amp;$Q$7&amp;"1000")&lt;&gt;INDIRECT("'"&amp;$Q$3&amp;"'!"&amp;$Q$7&amp;"1:"&amp;$Q$7&amp;"999")),9),"")</f>
        <v>70</v>
      </c>
      <c r="I45" s="7" t="str" cm="1">
        <f t="array" aca="1" ref="I45" ca="1">IF(H45="","",IF(INDIRECT("'"&amp;$Q$3&amp;"'!"&amp;$Q$7&amp;H45)=1,"ON","OFF"))</f>
        <v>OFF</v>
      </c>
      <c r="J45" s="7" t="e" cm="1">
        <f t="array" aca="1" ref="J45" ca="1">IF(H45="","",(INDIRECT("'"&amp;$Q$3&amp;"'!A"&amp;H45)-INDIRECT("'"&amp;$Q$3&amp;"'!A1"))*86400)</f>
        <v>#VALUE!</v>
      </c>
      <c r="K45" s="7" t="e">
        <f t="shared" ca="1" si="1"/>
        <v>#VALUE!</v>
      </c>
    </row>
    <row r="46" spans="1:19" x14ac:dyDescent="0.25">
      <c r="A46" s="7">
        <v>10</v>
      </c>
      <c r="B46" s="7" t="str" cm="1">
        <f t="array" aca="1" ref="B46" ca="1">IFERROR(_xlfn.AGGREGATE(15,6,ROW(INDIRECT("'"&amp;$Q$3&amp;"'!"&amp;$Q$6&amp;"2:"&amp;$Q$6&amp;"1000"))/(INDIRECT("'"&amp;$Q$3&amp;"'!"&amp;$Q$6&amp;"2:"&amp;$Q$6&amp;"1000")&lt;&gt;INDIRECT("'"&amp;$Q$3&amp;"'!"&amp;$Q$6&amp;"1:"&amp;$Q$6&amp;"999")),10),"")</f>
        <v/>
      </c>
      <c r="C46" s="7" t="str" cm="1">
        <f t="array" aca="1" ref="C46" ca="1">IF(B46="","",IF(INDIRECT("'"&amp;$Q$3&amp;"'!"&amp;$Q$6&amp;B46)=1,"ON","OFF"))</f>
        <v/>
      </c>
      <c r="D46" s="7" t="str" cm="1">
        <f t="array" aca="1" ref="D46" ca="1">IF(B46="","",(INDIRECT("'"&amp;$Q$3&amp;"'!A"&amp;B46)-INDIRECT("'"&amp;$Q$3&amp;"'!A1"))*86400)</f>
        <v/>
      </c>
      <c r="E46" s="7" t="str">
        <f t="shared" ca="1" si="0"/>
        <v/>
      </c>
      <c r="G46" s="7">
        <v>10</v>
      </c>
      <c r="H46" s="7" cm="1">
        <f t="array" aca="1" ref="H46" ca="1">IFERROR(_xlfn.AGGREGATE(15,6,ROW(INDIRECT("'"&amp;$Q$3&amp;"'!"&amp;$Q$7&amp;"2:"&amp;$Q$7&amp;"1000"))/(INDIRECT("'"&amp;$Q$3&amp;"'!"&amp;$Q$7&amp;"2:"&amp;$Q$7&amp;"1000")&lt;&gt;INDIRECT("'"&amp;$Q$3&amp;"'!"&amp;$Q$7&amp;"1:"&amp;$Q$7&amp;"999")),10),"")</f>
        <v>88</v>
      </c>
      <c r="I46" s="7" t="str" cm="1">
        <f t="array" aca="1" ref="I46" ca="1">IF(H46="","",IF(INDIRECT("'"&amp;$Q$3&amp;"'!"&amp;$Q$7&amp;H46)=1,"ON","OFF"))</f>
        <v>ON</v>
      </c>
      <c r="J46" s="7" t="e" cm="1">
        <f t="array" aca="1" ref="J46" ca="1">IF(H46="","",(INDIRECT("'"&amp;$Q$3&amp;"'!A"&amp;H46)-INDIRECT("'"&amp;$Q$3&amp;"'!A1"))*86400)</f>
        <v>#VALUE!</v>
      </c>
      <c r="K46" s="7" t="e">
        <f t="shared" ca="1" si="1"/>
        <v>#VALUE!</v>
      </c>
    </row>
    <row r="47" spans="1:19" x14ac:dyDescent="0.25">
      <c r="A47" s="7">
        <v>11</v>
      </c>
      <c r="B47" s="7" t="str" cm="1">
        <f t="array" aca="1" ref="B47" ca="1">IFERROR(_xlfn.AGGREGATE(15,6,ROW(INDIRECT("'"&amp;$Q$3&amp;"'!"&amp;$Q$6&amp;"2:"&amp;$Q$6&amp;"1000"))/(INDIRECT("'"&amp;$Q$3&amp;"'!"&amp;$Q$6&amp;"2:"&amp;$Q$6&amp;"1000")&lt;&gt;INDIRECT("'"&amp;$Q$3&amp;"'!"&amp;$Q$6&amp;"1:"&amp;$Q$6&amp;"999")),11),"")</f>
        <v/>
      </c>
      <c r="C47" s="7" t="str" cm="1">
        <f t="array" aca="1" ref="C47" ca="1">IF(B47="","",IF(INDIRECT("'"&amp;$Q$3&amp;"'!"&amp;$Q$6&amp;B47)=1,"ON","OFF"))</f>
        <v/>
      </c>
      <c r="D47" s="7" t="str" cm="1">
        <f t="array" aca="1" ref="D47" ca="1">IF(B47="","",(INDIRECT("'"&amp;$Q$3&amp;"'!A"&amp;B47)-INDIRECT("'"&amp;$Q$3&amp;"'!A1"))*86400)</f>
        <v/>
      </c>
      <c r="E47" s="7" t="str">
        <f t="shared" ca="1" si="0"/>
        <v/>
      </c>
      <c r="G47" s="7">
        <v>11</v>
      </c>
      <c r="H47" s="7" cm="1">
        <f t="array" aca="1" ref="H47" ca="1">IFERROR(_xlfn.AGGREGATE(15,6,ROW(INDIRECT("'"&amp;$Q$3&amp;"'!"&amp;$Q$7&amp;"2:"&amp;$Q$7&amp;"1000"))/(INDIRECT("'"&amp;$Q$3&amp;"'!"&amp;$Q$7&amp;"2:"&amp;$Q$7&amp;"1000")&lt;&gt;INDIRECT("'"&amp;$Q$3&amp;"'!"&amp;$Q$7&amp;"1:"&amp;$Q$7&amp;"999")),11),"")</f>
        <v>90</v>
      </c>
      <c r="I47" s="7" t="str" cm="1">
        <f t="array" aca="1" ref="I47" ca="1">IF(H47="","",IF(INDIRECT("'"&amp;$Q$3&amp;"'!"&amp;$Q$7&amp;H47)=1,"ON","OFF"))</f>
        <v>OFF</v>
      </c>
      <c r="J47" s="7" t="e" cm="1">
        <f t="array" aca="1" ref="J47" ca="1">IF(H47="","",(INDIRECT("'"&amp;$Q$3&amp;"'!A"&amp;H47)-INDIRECT("'"&amp;$Q$3&amp;"'!A1"))*86400)</f>
        <v>#VALUE!</v>
      </c>
      <c r="K47" s="7" t="e">
        <f t="shared" ca="1" si="1"/>
        <v>#VALUE!</v>
      </c>
    </row>
    <row r="48" spans="1:19" x14ac:dyDescent="0.25">
      <c r="A48" s="7">
        <v>12</v>
      </c>
      <c r="B48" s="7" t="str" cm="1">
        <f t="array" aca="1" ref="B48" ca="1">IFERROR(_xlfn.AGGREGATE(15,6,ROW(INDIRECT("'"&amp;$Q$3&amp;"'!"&amp;$Q$6&amp;"2:"&amp;$Q$6&amp;"1000"))/(INDIRECT("'"&amp;$Q$3&amp;"'!"&amp;$Q$6&amp;"2:"&amp;$Q$6&amp;"1000")&lt;&gt;INDIRECT("'"&amp;$Q$3&amp;"'!"&amp;$Q$6&amp;"1:"&amp;$Q$6&amp;"999")),12),"")</f>
        <v/>
      </c>
      <c r="C48" s="7" t="str" cm="1">
        <f t="array" aca="1" ref="C48" ca="1">IF(B48="","",IF(INDIRECT("'"&amp;$Q$3&amp;"'!"&amp;$Q$6&amp;B48)=1,"ON","OFF"))</f>
        <v/>
      </c>
      <c r="D48" s="7" t="str" cm="1">
        <f t="array" aca="1" ref="D48" ca="1">IF(B48="","",(INDIRECT("'"&amp;$Q$3&amp;"'!A"&amp;B48)-INDIRECT("'"&amp;$Q$3&amp;"'!A1"))*86400)</f>
        <v/>
      </c>
      <c r="E48" s="7" t="str">
        <f t="shared" ca="1" si="0"/>
        <v/>
      </c>
      <c r="G48" s="7">
        <v>12</v>
      </c>
      <c r="H48" s="7" cm="1">
        <f t="array" aca="1" ref="H48" ca="1">IFERROR(_xlfn.AGGREGATE(15,6,ROW(INDIRECT("'"&amp;$Q$3&amp;"'!"&amp;$Q$7&amp;"2:"&amp;$Q$7&amp;"1000"))/(INDIRECT("'"&amp;$Q$3&amp;"'!"&amp;$Q$7&amp;"2:"&amp;$Q$7&amp;"1000")&lt;&gt;INDIRECT("'"&amp;$Q$3&amp;"'!"&amp;$Q$7&amp;"1:"&amp;$Q$7&amp;"999")),12),"")</f>
        <v>107</v>
      </c>
      <c r="I48" s="7" t="str" cm="1">
        <f t="array" aca="1" ref="I48" ca="1">IF(H48="","",IF(INDIRECT("'"&amp;$Q$3&amp;"'!"&amp;$Q$7&amp;H48)=1,"ON","OFF"))</f>
        <v>ON</v>
      </c>
      <c r="J48" s="7" t="e" cm="1">
        <f t="array" aca="1" ref="J48" ca="1">IF(H48="","",(INDIRECT("'"&amp;$Q$3&amp;"'!A"&amp;H48)-INDIRECT("'"&amp;$Q$3&amp;"'!A1"))*86400)</f>
        <v>#VALUE!</v>
      </c>
      <c r="K48" s="7" t="e">
        <f t="shared" ca="1" si="1"/>
        <v>#VALUE!</v>
      </c>
    </row>
    <row r="49" spans="1:11" x14ac:dyDescent="0.25">
      <c r="A49" s="7">
        <v>13</v>
      </c>
      <c r="B49" s="7" t="str" cm="1">
        <f t="array" aca="1" ref="B49" ca="1">IFERROR(_xlfn.AGGREGATE(15,6,ROW(INDIRECT("'"&amp;$Q$3&amp;"'!"&amp;$Q$6&amp;"2:"&amp;$Q$6&amp;"1000"))/(INDIRECT("'"&amp;$Q$3&amp;"'!"&amp;$Q$6&amp;"2:"&amp;$Q$6&amp;"1000")&lt;&gt;INDIRECT("'"&amp;$Q$3&amp;"'!"&amp;$Q$6&amp;"1:"&amp;$Q$6&amp;"999")),13),"")</f>
        <v/>
      </c>
      <c r="C49" s="7" t="str" cm="1">
        <f t="array" aca="1" ref="C49" ca="1">IF(B49="","",IF(INDIRECT("'"&amp;$Q$3&amp;"'!"&amp;$Q$6&amp;B49)=1,"ON","OFF"))</f>
        <v/>
      </c>
      <c r="D49" s="7" t="str" cm="1">
        <f t="array" aca="1" ref="D49" ca="1">IF(B49="","",(INDIRECT("'"&amp;$Q$3&amp;"'!A"&amp;B49)-INDIRECT("'"&amp;$Q$3&amp;"'!A1"))*86400)</f>
        <v/>
      </c>
      <c r="E49" s="7" t="str">
        <f t="shared" ca="1" si="0"/>
        <v/>
      </c>
      <c r="G49" s="7">
        <v>13</v>
      </c>
      <c r="H49" s="7" cm="1">
        <f t="array" aca="1" ref="H49" ca="1">IFERROR(_xlfn.AGGREGATE(15,6,ROW(INDIRECT("'"&amp;$Q$3&amp;"'!"&amp;$Q$7&amp;"2:"&amp;$Q$7&amp;"1000"))/(INDIRECT("'"&amp;$Q$3&amp;"'!"&amp;$Q$7&amp;"2:"&amp;$Q$7&amp;"1000")&lt;&gt;INDIRECT("'"&amp;$Q$3&amp;"'!"&amp;$Q$7&amp;"1:"&amp;$Q$7&amp;"999")),13),"")</f>
        <v>109</v>
      </c>
      <c r="I49" s="7" t="str" cm="1">
        <f t="array" aca="1" ref="I49" ca="1">IF(H49="","",IF(INDIRECT("'"&amp;$Q$3&amp;"'!"&amp;$Q$7&amp;H49)=1,"ON","OFF"))</f>
        <v>OFF</v>
      </c>
      <c r="J49" s="7" t="e" cm="1">
        <f t="array" aca="1" ref="J49" ca="1">IF(H49="","",(INDIRECT("'"&amp;$Q$3&amp;"'!A"&amp;H49)-INDIRECT("'"&amp;$Q$3&amp;"'!A1"))*86400)</f>
        <v>#VALUE!</v>
      </c>
      <c r="K49" s="7" t="e">
        <f t="shared" ca="1" si="1"/>
        <v>#VALUE!</v>
      </c>
    </row>
    <row r="50" spans="1:11" x14ac:dyDescent="0.25">
      <c r="A50" s="7">
        <v>14</v>
      </c>
      <c r="B50" s="7" t="str" cm="1">
        <f t="array" aca="1" ref="B50" ca="1">IFERROR(_xlfn.AGGREGATE(15,6,ROW(INDIRECT("'"&amp;$Q$3&amp;"'!"&amp;$Q$6&amp;"2:"&amp;$Q$6&amp;"1000"))/(INDIRECT("'"&amp;$Q$3&amp;"'!"&amp;$Q$6&amp;"2:"&amp;$Q$6&amp;"1000")&lt;&gt;INDIRECT("'"&amp;$Q$3&amp;"'!"&amp;$Q$6&amp;"1:"&amp;$Q$6&amp;"999")),14),"")</f>
        <v/>
      </c>
      <c r="C50" s="7" t="str" cm="1">
        <f t="array" aca="1" ref="C50" ca="1">IF(B50="","",IF(INDIRECT("'"&amp;$Q$3&amp;"'!"&amp;$Q$6&amp;B50)=1,"ON","OFF"))</f>
        <v/>
      </c>
      <c r="D50" s="7" t="str" cm="1">
        <f t="array" aca="1" ref="D50" ca="1">IF(B50="","",(INDIRECT("'"&amp;$Q$3&amp;"'!A"&amp;B50)-INDIRECT("'"&amp;$Q$3&amp;"'!A1"))*86400)</f>
        <v/>
      </c>
      <c r="E50" s="7" t="str">
        <f t="shared" ca="1" si="0"/>
        <v/>
      </c>
      <c r="G50" s="7">
        <v>14</v>
      </c>
      <c r="H50" s="7" cm="1">
        <f t="array" aca="1" ref="H50" ca="1">IFERROR(_xlfn.AGGREGATE(15,6,ROW(INDIRECT("'"&amp;$Q$3&amp;"'!"&amp;$Q$7&amp;"2:"&amp;$Q$7&amp;"1000"))/(INDIRECT("'"&amp;$Q$3&amp;"'!"&amp;$Q$7&amp;"2:"&amp;$Q$7&amp;"1000")&lt;&gt;INDIRECT("'"&amp;$Q$3&amp;"'!"&amp;$Q$7&amp;"1:"&amp;$Q$7&amp;"999")),14),"")</f>
        <v>127</v>
      </c>
      <c r="I50" s="7" t="str" cm="1">
        <f t="array" aca="1" ref="I50" ca="1">IF(H50="","",IF(INDIRECT("'"&amp;$Q$3&amp;"'!"&amp;$Q$7&amp;H50)=1,"ON","OFF"))</f>
        <v>ON</v>
      </c>
      <c r="J50" s="7" t="e" cm="1">
        <f t="array" aca="1" ref="J50" ca="1">IF(H50="","",(INDIRECT("'"&amp;$Q$3&amp;"'!A"&amp;H50)-INDIRECT("'"&amp;$Q$3&amp;"'!A1"))*86400)</f>
        <v>#VALUE!</v>
      </c>
      <c r="K50" s="7" t="e">
        <f t="shared" ca="1" si="1"/>
        <v>#VALUE!</v>
      </c>
    </row>
    <row r="51" spans="1:11" x14ac:dyDescent="0.25">
      <c r="A51" s="7">
        <v>15</v>
      </c>
      <c r="B51" s="7" t="str" cm="1">
        <f t="array" aca="1" ref="B51" ca="1">IFERROR(_xlfn.AGGREGATE(15,6,ROW(INDIRECT("'"&amp;$Q$3&amp;"'!"&amp;$Q$6&amp;"2:"&amp;$Q$6&amp;"1000"))/(INDIRECT("'"&amp;$Q$3&amp;"'!"&amp;$Q$6&amp;"2:"&amp;$Q$6&amp;"1000")&lt;&gt;INDIRECT("'"&amp;$Q$3&amp;"'!"&amp;$Q$6&amp;"1:"&amp;$Q$6&amp;"999")),15),"")</f>
        <v/>
      </c>
      <c r="C51" s="7" t="str" cm="1">
        <f t="array" aca="1" ref="C51" ca="1">IF(B51="","",IF(INDIRECT("'"&amp;$Q$3&amp;"'!"&amp;$Q$6&amp;B51)=1,"ON","OFF"))</f>
        <v/>
      </c>
      <c r="D51" s="7" t="str" cm="1">
        <f t="array" aca="1" ref="D51" ca="1">IF(B51="","",(INDIRECT("'"&amp;$Q$3&amp;"'!A"&amp;B51)-INDIRECT("'"&amp;$Q$3&amp;"'!A1"))*86400)</f>
        <v/>
      </c>
      <c r="E51" s="7" t="str">
        <f t="shared" ca="1" si="0"/>
        <v/>
      </c>
      <c r="G51" s="7">
        <v>15</v>
      </c>
      <c r="H51" s="7" cm="1">
        <f t="array" aca="1" ref="H51" ca="1">IFERROR(_xlfn.AGGREGATE(15,6,ROW(INDIRECT("'"&amp;$Q$3&amp;"'!"&amp;$Q$7&amp;"2:"&amp;$Q$7&amp;"1000"))/(INDIRECT("'"&amp;$Q$3&amp;"'!"&amp;$Q$7&amp;"2:"&amp;$Q$7&amp;"1000")&lt;&gt;INDIRECT("'"&amp;$Q$3&amp;"'!"&amp;$Q$7&amp;"1:"&amp;$Q$7&amp;"999")),15),"")</f>
        <v>129</v>
      </c>
      <c r="I51" s="7" t="str" cm="1">
        <f t="array" aca="1" ref="I51" ca="1">IF(H51="","",IF(INDIRECT("'"&amp;$Q$3&amp;"'!"&amp;$Q$7&amp;H51)=1,"ON","OFF"))</f>
        <v>OFF</v>
      </c>
      <c r="J51" s="7" t="e" cm="1">
        <f t="array" aca="1" ref="J51" ca="1">IF(H51="","",(INDIRECT("'"&amp;$Q$3&amp;"'!A"&amp;H51)-INDIRECT("'"&amp;$Q$3&amp;"'!A1"))*86400)</f>
        <v>#VALUE!</v>
      </c>
      <c r="K51" s="7" t="e">
        <f t="shared" ca="1" si="1"/>
        <v>#VALUE!</v>
      </c>
    </row>
    <row r="52" spans="1:11" x14ac:dyDescent="0.25">
      <c r="A52" s="7">
        <v>16</v>
      </c>
      <c r="B52" s="7" t="str" cm="1">
        <f t="array" aca="1" ref="B52" ca="1">IFERROR(_xlfn.AGGREGATE(15,6,ROW(INDIRECT("'"&amp;$Q$3&amp;"'!"&amp;$Q$6&amp;"2:"&amp;$Q$6&amp;"1000"))/(INDIRECT("'"&amp;$Q$3&amp;"'!"&amp;$Q$6&amp;"2:"&amp;$Q$6&amp;"1000")&lt;&gt;INDIRECT("'"&amp;$Q$3&amp;"'!"&amp;$Q$6&amp;"1:"&amp;$Q$6&amp;"999")),16),"")</f>
        <v/>
      </c>
      <c r="C52" s="7" t="str" cm="1">
        <f t="array" aca="1" ref="C52" ca="1">IF(B52="","",IF(INDIRECT("'"&amp;$Q$3&amp;"'!"&amp;$Q$6&amp;B52)=1,"ON","OFF"))</f>
        <v/>
      </c>
      <c r="D52" s="7" t="str" cm="1">
        <f t="array" aca="1" ref="D52" ca="1">IF(B52="","",(INDIRECT("'"&amp;$Q$3&amp;"'!A"&amp;B52)-INDIRECT("'"&amp;$Q$3&amp;"'!A1"))*86400)</f>
        <v/>
      </c>
      <c r="E52" s="7" t="str">
        <f t="shared" ca="1" si="0"/>
        <v/>
      </c>
      <c r="G52" s="7">
        <v>16</v>
      </c>
      <c r="H52" s="7" cm="1">
        <f t="array" aca="1" ref="H52" ca="1">IFERROR(_xlfn.AGGREGATE(15,6,ROW(INDIRECT("'"&amp;$Q$3&amp;"'!"&amp;$Q$7&amp;"2:"&amp;$Q$7&amp;"1000"))/(INDIRECT("'"&amp;$Q$3&amp;"'!"&amp;$Q$7&amp;"2:"&amp;$Q$7&amp;"1000")&lt;&gt;INDIRECT("'"&amp;$Q$3&amp;"'!"&amp;$Q$7&amp;"1:"&amp;$Q$7&amp;"999")),16),"")</f>
        <v>147</v>
      </c>
      <c r="I52" s="7" t="str" cm="1">
        <f t="array" aca="1" ref="I52" ca="1">IF(H52="","",IF(INDIRECT("'"&amp;$Q$3&amp;"'!"&amp;$Q$7&amp;H52)=1,"ON","OFF"))</f>
        <v>ON</v>
      </c>
      <c r="J52" s="7" t="e" cm="1">
        <f t="array" aca="1" ref="J52" ca="1">IF(H52="","",(INDIRECT("'"&amp;$Q$3&amp;"'!A"&amp;H52)-INDIRECT("'"&amp;$Q$3&amp;"'!A1"))*86400)</f>
        <v>#VALUE!</v>
      </c>
      <c r="K52" s="7" t="e">
        <f t="shared" ca="1" si="1"/>
        <v>#VALUE!</v>
      </c>
    </row>
    <row r="53" spans="1:11" x14ac:dyDescent="0.25">
      <c r="A53" s="7">
        <v>17</v>
      </c>
      <c r="B53" s="7" t="str" cm="1">
        <f t="array" aca="1" ref="B53" ca="1">IFERROR(_xlfn.AGGREGATE(15,6,ROW(INDIRECT("'"&amp;$Q$3&amp;"'!"&amp;$Q$6&amp;"2:"&amp;$Q$6&amp;"1000"))/(INDIRECT("'"&amp;$Q$3&amp;"'!"&amp;$Q$6&amp;"2:"&amp;$Q$6&amp;"1000")&lt;&gt;INDIRECT("'"&amp;$Q$3&amp;"'!"&amp;$Q$6&amp;"1:"&amp;$Q$6&amp;"999")),17),"")</f>
        <v/>
      </c>
      <c r="C53" s="7" t="str" cm="1">
        <f t="array" aca="1" ref="C53" ca="1">IF(B53="","",IF(INDIRECT("'"&amp;$Q$3&amp;"'!"&amp;$Q$6&amp;B53)=1,"ON","OFF"))</f>
        <v/>
      </c>
      <c r="D53" s="7" t="str" cm="1">
        <f t="array" aca="1" ref="D53" ca="1">IF(B53="","",(INDIRECT("'"&amp;$Q$3&amp;"'!A"&amp;B53)-INDIRECT("'"&amp;$Q$3&amp;"'!A1"))*86400)</f>
        <v/>
      </c>
      <c r="E53" s="7" t="str">
        <f t="shared" ca="1" si="0"/>
        <v/>
      </c>
      <c r="G53" s="7">
        <v>17</v>
      </c>
      <c r="H53" s="7" cm="1">
        <f t="array" aca="1" ref="H53" ca="1">IFERROR(_xlfn.AGGREGATE(15,6,ROW(INDIRECT("'"&amp;$Q$3&amp;"'!"&amp;$Q$7&amp;"2:"&amp;$Q$7&amp;"1000"))/(INDIRECT("'"&amp;$Q$3&amp;"'!"&amp;$Q$7&amp;"2:"&amp;$Q$7&amp;"1000")&lt;&gt;INDIRECT("'"&amp;$Q$3&amp;"'!"&amp;$Q$7&amp;"1:"&amp;$Q$7&amp;"999")),17),"")</f>
        <v>149</v>
      </c>
      <c r="I53" s="7" t="str" cm="1">
        <f t="array" aca="1" ref="I53" ca="1">IF(H53="","",IF(INDIRECT("'"&amp;$Q$3&amp;"'!"&amp;$Q$7&amp;H53)=1,"ON","OFF"))</f>
        <v>OFF</v>
      </c>
      <c r="J53" s="7" t="e" cm="1">
        <f t="array" aca="1" ref="J53" ca="1">IF(H53="","",(INDIRECT("'"&amp;$Q$3&amp;"'!A"&amp;H53)-INDIRECT("'"&amp;$Q$3&amp;"'!A1"))*86400)</f>
        <v>#VALUE!</v>
      </c>
      <c r="K53" s="7" t="e">
        <f t="shared" ca="1" si="1"/>
        <v>#VALUE!</v>
      </c>
    </row>
    <row r="54" spans="1:11" x14ac:dyDescent="0.25">
      <c r="A54" s="7">
        <v>18</v>
      </c>
      <c r="B54" s="7" t="str" cm="1">
        <f t="array" aca="1" ref="B54" ca="1">IFERROR(_xlfn.AGGREGATE(15,6,ROW(INDIRECT("'"&amp;$Q$3&amp;"'!"&amp;$Q$6&amp;"2:"&amp;$Q$6&amp;"1000"))/(INDIRECT("'"&amp;$Q$3&amp;"'!"&amp;$Q$6&amp;"2:"&amp;$Q$6&amp;"1000")&lt;&gt;INDIRECT("'"&amp;$Q$3&amp;"'!"&amp;$Q$6&amp;"1:"&amp;$Q$6&amp;"999")),18),"")</f>
        <v/>
      </c>
      <c r="C54" s="7" t="str" cm="1">
        <f t="array" aca="1" ref="C54" ca="1">IF(B54="","",IF(INDIRECT("'"&amp;$Q$3&amp;"'!"&amp;$Q$6&amp;B54)=1,"ON","OFF"))</f>
        <v/>
      </c>
      <c r="D54" s="7" t="str" cm="1">
        <f t="array" aca="1" ref="D54" ca="1">IF(B54="","",(INDIRECT("'"&amp;$Q$3&amp;"'!A"&amp;B54)-INDIRECT("'"&amp;$Q$3&amp;"'!A1"))*86400)</f>
        <v/>
      </c>
      <c r="E54" s="7" t="str">
        <f t="shared" ca="1" si="0"/>
        <v/>
      </c>
      <c r="G54" s="7">
        <v>18</v>
      </c>
      <c r="H54" s="7" cm="1">
        <f t="array" aca="1" ref="H54" ca="1">IFERROR(_xlfn.AGGREGATE(15,6,ROW(INDIRECT("'"&amp;$Q$3&amp;"'!"&amp;$Q$7&amp;"2:"&amp;$Q$7&amp;"1000"))/(INDIRECT("'"&amp;$Q$3&amp;"'!"&amp;$Q$7&amp;"2:"&amp;$Q$7&amp;"1000")&lt;&gt;INDIRECT("'"&amp;$Q$3&amp;"'!"&amp;$Q$7&amp;"1:"&amp;$Q$7&amp;"999")),18),"")</f>
        <v>167</v>
      </c>
      <c r="I54" s="7" t="str" cm="1">
        <f t="array" aca="1" ref="I54" ca="1">IF(H54="","",IF(INDIRECT("'"&amp;$Q$3&amp;"'!"&amp;$Q$7&amp;H54)=1,"ON","OFF"))</f>
        <v>ON</v>
      </c>
      <c r="J54" s="7" t="e" cm="1">
        <f t="array" aca="1" ref="J54" ca="1">IF(H54="","",(INDIRECT("'"&amp;$Q$3&amp;"'!A"&amp;H54)-INDIRECT("'"&amp;$Q$3&amp;"'!A1"))*86400)</f>
        <v>#VALUE!</v>
      </c>
      <c r="K54" s="7" t="e">
        <f t="shared" ca="1" si="1"/>
        <v>#VALUE!</v>
      </c>
    </row>
    <row r="55" spans="1:11" x14ac:dyDescent="0.25">
      <c r="A55" s="7">
        <v>19</v>
      </c>
      <c r="B55" s="7" t="str" cm="1">
        <f t="array" aca="1" ref="B55" ca="1">IFERROR(_xlfn.AGGREGATE(15,6,ROW(INDIRECT("'"&amp;$Q$3&amp;"'!"&amp;$Q$6&amp;"2:"&amp;$Q$6&amp;"1000"))/(INDIRECT("'"&amp;$Q$3&amp;"'!"&amp;$Q$6&amp;"2:"&amp;$Q$6&amp;"1000")&lt;&gt;INDIRECT("'"&amp;$Q$3&amp;"'!"&amp;$Q$6&amp;"1:"&amp;$Q$6&amp;"999")),19),"")</f>
        <v/>
      </c>
      <c r="C55" s="7" t="str" cm="1">
        <f t="array" aca="1" ref="C55" ca="1">IF(B55="","",IF(INDIRECT("'"&amp;$Q$3&amp;"'!"&amp;$Q$6&amp;B55)=1,"ON","OFF"))</f>
        <v/>
      </c>
      <c r="D55" s="7" t="str" cm="1">
        <f t="array" aca="1" ref="D55" ca="1">IF(B55="","",(INDIRECT("'"&amp;$Q$3&amp;"'!A"&amp;B55)-INDIRECT("'"&amp;$Q$3&amp;"'!A1"))*86400)</f>
        <v/>
      </c>
      <c r="E55" s="7" t="str">
        <f t="shared" ca="1" si="0"/>
        <v/>
      </c>
      <c r="G55" s="7">
        <v>19</v>
      </c>
      <c r="H55" s="7" cm="1">
        <f t="array" aca="1" ref="H55" ca="1">IFERROR(_xlfn.AGGREGATE(15,6,ROW(INDIRECT("'"&amp;$Q$3&amp;"'!"&amp;$Q$7&amp;"2:"&amp;$Q$7&amp;"1000"))/(INDIRECT("'"&amp;$Q$3&amp;"'!"&amp;$Q$7&amp;"2:"&amp;$Q$7&amp;"1000")&lt;&gt;INDIRECT("'"&amp;$Q$3&amp;"'!"&amp;$Q$7&amp;"1:"&amp;$Q$7&amp;"999")),19),"")</f>
        <v>169</v>
      </c>
      <c r="I55" s="7" t="str" cm="1">
        <f t="array" aca="1" ref="I55" ca="1">IF(H55="","",IF(INDIRECT("'"&amp;$Q$3&amp;"'!"&amp;$Q$7&amp;H55)=1,"ON","OFF"))</f>
        <v>OFF</v>
      </c>
      <c r="J55" s="7" t="e" cm="1">
        <f t="array" aca="1" ref="J55" ca="1">IF(H55="","",(INDIRECT("'"&amp;$Q$3&amp;"'!A"&amp;H55)-INDIRECT("'"&amp;$Q$3&amp;"'!A1"))*86400)</f>
        <v>#VALUE!</v>
      </c>
      <c r="K55" s="7" t="e">
        <f t="shared" ca="1" si="1"/>
        <v>#VALUE!</v>
      </c>
    </row>
    <row r="56" spans="1:11" x14ac:dyDescent="0.25">
      <c r="A56" s="7">
        <v>20</v>
      </c>
      <c r="B56" s="7" t="str" cm="1">
        <f t="array" aca="1" ref="B56" ca="1">IFERROR(_xlfn.AGGREGATE(15,6,ROW(INDIRECT("'"&amp;$Q$3&amp;"'!"&amp;$Q$6&amp;"2:"&amp;$Q$6&amp;"1000"))/(INDIRECT("'"&amp;$Q$3&amp;"'!"&amp;$Q$6&amp;"2:"&amp;$Q$6&amp;"1000")&lt;&gt;INDIRECT("'"&amp;$Q$3&amp;"'!"&amp;$Q$6&amp;"1:"&amp;$Q$6&amp;"999")),20),"")</f>
        <v/>
      </c>
      <c r="C56" s="7" t="str" cm="1">
        <f t="array" aca="1" ref="C56" ca="1">IF(B56="","",IF(INDIRECT("'"&amp;$Q$3&amp;"'!"&amp;$Q$6&amp;B56)=1,"ON","OFF"))</f>
        <v/>
      </c>
      <c r="D56" s="7" t="str" cm="1">
        <f t="array" aca="1" ref="D56" ca="1">IF(B56="","",(INDIRECT("'"&amp;$Q$3&amp;"'!A"&amp;B56)-INDIRECT("'"&amp;$Q$3&amp;"'!A1"))*86400)</f>
        <v/>
      </c>
      <c r="E56" s="7" t="str">
        <f t="shared" ca="1" si="0"/>
        <v/>
      </c>
      <c r="G56" s="7">
        <v>20</v>
      </c>
      <c r="H56" s="7" cm="1">
        <f t="array" aca="1" ref="H56" ca="1">IFERROR(_xlfn.AGGREGATE(15,6,ROW(INDIRECT("'"&amp;$Q$3&amp;"'!"&amp;$Q$7&amp;"2:"&amp;$Q$7&amp;"1000"))/(INDIRECT("'"&amp;$Q$3&amp;"'!"&amp;$Q$7&amp;"2:"&amp;$Q$7&amp;"1000")&lt;&gt;INDIRECT("'"&amp;$Q$3&amp;"'!"&amp;$Q$7&amp;"1:"&amp;$Q$7&amp;"999")),20),"")</f>
        <v>187</v>
      </c>
      <c r="I56" s="7" t="str" cm="1">
        <f t="array" aca="1" ref="I56" ca="1">IF(H56="","",IF(INDIRECT("'"&amp;$Q$3&amp;"'!"&amp;$Q$7&amp;H56)=1,"ON","OFF"))</f>
        <v>ON</v>
      </c>
      <c r="J56" s="7" t="e" cm="1">
        <f t="array" aca="1" ref="J56" ca="1">IF(H56="","",(INDIRECT("'"&amp;$Q$3&amp;"'!A"&amp;H56)-INDIRECT("'"&amp;$Q$3&amp;"'!A1"))*86400)</f>
        <v>#VALUE!</v>
      </c>
      <c r="K56" s="7" t="e">
        <f t="shared" ca="1" si="1"/>
        <v>#VALUE!</v>
      </c>
    </row>
    <row r="57" spans="1:11" x14ac:dyDescent="0.25">
      <c r="A57" s="7">
        <v>21</v>
      </c>
      <c r="B57" s="7" t="str" cm="1">
        <f t="array" aca="1" ref="B57" ca="1">IFERROR(_xlfn.AGGREGATE(15,6,ROW(INDIRECT("'"&amp;$Q$3&amp;"'!"&amp;$Q$6&amp;"2:"&amp;$Q$6&amp;"1000"))/(INDIRECT("'"&amp;$Q$3&amp;"'!"&amp;$Q$6&amp;"2:"&amp;$Q$6&amp;"1000")&lt;&gt;INDIRECT("'"&amp;$Q$3&amp;"'!"&amp;$Q$6&amp;"1:"&amp;$Q$6&amp;"999")),21),"")</f>
        <v/>
      </c>
      <c r="C57" s="7" t="str" cm="1">
        <f t="array" aca="1" ref="C57" ca="1">IF(B57="","",IF(INDIRECT("'"&amp;$Q$3&amp;"'!"&amp;$Q$6&amp;B57)=1,"ON","OFF"))</f>
        <v/>
      </c>
      <c r="D57" s="7" t="str" cm="1">
        <f t="array" aca="1" ref="D57" ca="1">IF(B57="","",(INDIRECT("'"&amp;$Q$3&amp;"'!A"&amp;B57)-INDIRECT("'"&amp;$Q$3&amp;"'!A1"))*86400)</f>
        <v/>
      </c>
      <c r="E57" s="7" t="str">
        <f t="shared" ca="1" si="0"/>
        <v/>
      </c>
      <c r="G57" s="7">
        <v>21</v>
      </c>
      <c r="H57" s="7" cm="1">
        <f t="array" aca="1" ref="H57" ca="1">IFERROR(_xlfn.AGGREGATE(15,6,ROW(INDIRECT("'"&amp;$Q$3&amp;"'!"&amp;$Q$7&amp;"2:"&amp;$Q$7&amp;"1000"))/(INDIRECT("'"&amp;$Q$3&amp;"'!"&amp;$Q$7&amp;"2:"&amp;$Q$7&amp;"1000")&lt;&gt;INDIRECT("'"&amp;$Q$3&amp;"'!"&amp;$Q$7&amp;"1:"&amp;$Q$7&amp;"999")),21),"")</f>
        <v>189</v>
      </c>
      <c r="I57" s="7" t="str" cm="1">
        <f t="array" aca="1" ref="I57" ca="1">IF(H57="","",IF(INDIRECT("'"&amp;$Q$3&amp;"'!"&amp;$Q$7&amp;H57)=1,"ON","OFF"))</f>
        <v>OFF</v>
      </c>
      <c r="J57" s="7" t="e" cm="1">
        <f t="array" aca="1" ref="J57" ca="1">IF(H57="","",(INDIRECT("'"&amp;$Q$3&amp;"'!A"&amp;H57)-INDIRECT("'"&amp;$Q$3&amp;"'!A1"))*86400)</f>
        <v>#VALUE!</v>
      </c>
      <c r="K57" s="7" t="e">
        <f t="shared" ca="1" si="1"/>
        <v>#VALUE!</v>
      </c>
    </row>
    <row r="58" spans="1:11" x14ac:dyDescent="0.25">
      <c r="A58" s="7">
        <v>22</v>
      </c>
      <c r="B58" s="7" t="str" cm="1">
        <f t="array" aca="1" ref="B58" ca="1">IFERROR(_xlfn.AGGREGATE(15,6,ROW(INDIRECT("'"&amp;$Q$3&amp;"'!"&amp;$Q$6&amp;"2:"&amp;$Q$6&amp;"1000"))/(INDIRECT("'"&amp;$Q$3&amp;"'!"&amp;$Q$6&amp;"2:"&amp;$Q$6&amp;"1000")&lt;&gt;INDIRECT("'"&amp;$Q$3&amp;"'!"&amp;$Q$6&amp;"1:"&amp;$Q$6&amp;"999")),22),"")</f>
        <v/>
      </c>
      <c r="C58" s="7" t="str" cm="1">
        <f t="array" aca="1" ref="C58" ca="1">IF(B58="","",IF(INDIRECT("'"&amp;$Q$3&amp;"'!"&amp;$Q$6&amp;B58)=1,"ON","OFF"))</f>
        <v/>
      </c>
      <c r="D58" s="7" t="str" cm="1">
        <f t="array" aca="1" ref="D58" ca="1">IF(B58="","",(INDIRECT("'"&amp;$Q$3&amp;"'!A"&amp;B58)-INDIRECT("'"&amp;$Q$3&amp;"'!A1"))*86400)</f>
        <v/>
      </c>
      <c r="E58" s="7" t="str">
        <f t="shared" ca="1" si="0"/>
        <v/>
      </c>
      <c r="G58" s="7">
        <v>22</v>
      </c>
      <c r="H58" s="7" cm="1">
        <f t="array" aca="1" ref="H58" ca="1">IFERROR(_xlfn.AGGREGATE(15,6,ROW(INDIRECT("'"&amp;$Q$3&amp;"'!"&amp;$Q$7&amp;"2:"&amp;$Q$7&amp;"1000"))/(INDIRECT("'"&amp;$Q$3&amp;"'!"&amp;$Q$7&amp;"2:"&amp;$Q$7&amp;"1000")&lt;&gt;INDIRECT("'"&amp;$Q$3&amp;"'!"&amp;$Q$7&amp;"1:"&amp;$Q$7&amp;"999")),22),"")</f>
        <v>206</v>
      </c>
      <c r="I58" s="7" t="str" cm="1">
        <f t="array" aca="1" ref="I58" ca="1">IF(H58="","",IF(INDIRECT("'"&amp;$Q$3&amp;"'!"&amp;$Q$7&amp;H58)=1,"ON","OFF"))</f>
        <v>ON</v>
      </c>
      <c r="J58" s="7" t="e" cm="1">
        <f t="array" aca="1" ref="J58" ca="1">IF(H58="","",(INDIRECT("'"&amp;$Q$3&amp;"'!A"&amp;H58)-INDIRECT("'"&amp;$Q$3&amp;"'!A1"))*86400)</f>
        <v>#VALUE!</v>
      </c>
      <c r="K58" s="7" t="e">
        <f t="shared" ca="1" si="1"/>
        <v>#VALUE!</v>
      </c>
    </row>
    <row r="59" spans="1:11" x14ac:dyDescent="0.25">
      <c r="A59" s="7">
        <v>23</v>
      </c>
      <c r="B59" s="7" t="str" cm="1">
        <f t="array" aca="1" ref="B59" ca="1">IFERROR(_xlfn.AGGREGATE(15,6,ROW(INDIRECT("'"&amp;$Q$3&amp;"'!"&amp;$Q$6&amp;"2:"&amp;$Q$6&amp;"1000"))/(INDIRECT("'"&amp;$Q$3&amp;"'!"&amp;$Q$6&amp;"2:"&amp;$Q$6&amp;"1000")&lt;&gt;INDIRECT("'"&amp;$Q$3&amp;"'!"&amp;$Q$6&amp;"1:"&amp;$Q$6&amp;"999")),23),"")</f>
        <v/>
      </c>
      <c r="C59" s="7" t="str" cm="1">
        <f t="array" aca="1" ref="C59" ca="1">IF(B59="","",IF(INDIRECT("'"&amp;$Q$3&amp;"'!"&amp;$Q$6&amp;B59)=1,"ON","OFF"))</f>
        <v/>
      </c>
      <c r="D59" s="7" t="str" cm="1">
        <f t="array" aca="1" ref="D59" ca="1">IF(B59="","",(INDIRECT("'"&amp;$Q$3&amp;"'!A"&amp;B59)-INDIRECT("'"&amp;$Q$3&amp;"'!A1"))*86400)</f>
        <v/>
      </c>
      <c r="E59" s="7" t="str">
        <f t="shared" ca="1" si="0"/>
        <v/>
      </c>
      <c r="G59" s="7">
        <v>23</v>
      </c>
      <c r="H59" s="7" cm="1">
        <f t="array" aca="1" ref="H59" ca="1">IFERROR(_xlfn.AGGREGATE(15,6,ROW(INDIRECT("'"&amp;$Q$3&amp;"'!"&amp;$Q$7&amp;"2:"&amp;$Q$7&amp;"1000"))/(INDIRECT("'"&amp;$Q$3&amp;"'!"&amp;$Q$7&amp;"2:"&amp;$Q$7&amp;"1000")&lt;&gt;INDIRECT("'"&amp;$Q$3&amp;"'!"&amp;$Q$7&amp;"1:"&amp;$Q$7&amp;"999")),23),"")</f>
        <v>208</v>
      </c>
      <c r="I59" s="7" t="str" cm="1">
        <f t="array" aca="1" ref="I59" ca="1">IF(H59="","",IF(INDIRECT("'"&amp;$Q$3&amp;"'!"&amp;$Q$7&amp;H59)=1,"ON","OFF"))</f>
        <v>OFF</v>
      </c>
      <c r="J59" s="7" t="e" cm="1">
        <f t="array" aca="1" ref="J59" ca="1">IF(H59="","",(INDIRECT("'"&amp;$Q$3&amp;"'!A"&amp;H59)-INDIRECT("'"&amp;$Q$3&amp;"'!A1"))*86400)</f>
        <v>#VALUE!</v>
      </c>
      <c r="K59" s="7" t="e">
        <f t="shared" ca="1" si="1"/>
        <v>#VALUE!</v>
      </c>
    </row>
    <row r="60" spans="1:11" x14ac:dyDescent="0.25">
      <c r="A60" s="7">
        <v>24</v>
      </c>
      <c r="B60" s="7" t="str" cm="1">
        <f t="array" aca="1" ref="B60" ca="1">IFERROR(_xlfn.AGGREGATE(15,6,ROW(INDIRECT("'"&amp;$Q$3&amp;"'!"&amp;$Q$6&amp;"2:"&amp;$Q$6&amp;"1000"))/(INDIRECT("'"&amp;$Q$3&amp;"'!"&amp;$Q$6&amp;"2:"&amp;$Q$6&amp;"1000")&lt;&gt;INDIRECT("'"&amp;$Q$3&amp;"'!"&amp;$Q$6&amp;"1:"&amp;$Q$6&amp;"999")),24),"")</f>
        <v/>
      </c>
      <c r="C60" s="7" t="str" cm="1">
        <f t="array" aca="1" ref="C60" ca="1">IF(B60="","",IF(INDIRECT("'"&amp;$Q$3&amp;"'!"&amp;$Q$6&amp;B60)=1,"ON","OFF"))</f>
        <v/>
      </c>
      <c r="D60" s="7" t="str" cm="1">
        <f t="array" aca="1" ref="D60" ca="1">IF(B60="","",(INDIRECT("'"&amp;$Q$3&amp;"'!A"&amp;B60)-INDIRECT("'"&amp;$Q$3&amp;"'!A1"))*86400)</f>
        <v/>
      </c>
      <c r="E60" s="7" t="str">
        <f t="shared" ca="1" si="0"/>
        <v/>
      </c>
      <c r="G60" s="7">
        <v>24</v>
      </c>
      <c r="H60" s="7" cm="1">
        <f t="array" aca="1" ref="H60" ca="1">IFERROR(_xlfn.AGGREGATE(15,6,ROW(INDIRECT("'"&amp;$Q$3&amp;"'!"&amp;$Q$7&amp;"2:"&amp;$Q$7&amp;"1000"))/(INDIRECT("'"&amp;$Q$3&amp;"'!"&amp;$Q$7&amp;"2:"&amp;$Q$7&amp;"1000")&lt;&gt;INDIRECT("'"&amp;$Q$3&amp;"'!"&amp;$Q$7&amp;"1:"&amp;$Q$7&amp;"999")),24),"")</f>
        <v>226</v>
      </c>
      <c r="I60" s="7" t="str" cm="1">
        <f t="array" aca="1" ref="I60" ca="1">IF(H60="","",IF(INDIRECT("'"&amp;$Q$3&amp;"'!"&amp;$Q$7&amp;H60)=1,"ON","OFF"))</f>
        <v>ON</v>
      </c>
      <c r="J60" s="7" t="e" cm="1">
        <f t="array" aca="1" ref="J60" ca="1">IF(H60="","",(INDIRECT("'"&amp;$Q$3&amp;"'!A"&amp;H60)-INDIRECT("'"&amp;$Q$3&amp;"'!A1"))*86400)</f>
        <v>#VALUE!</v>
      </c>
      <c r="K60" s="7" t="e">
        <f t="shared" ca="1" si="1"/>
        <v>#VALUE!</v>
      </c>
    </row>
    <row r="61" spans="1:11" x14ac:dyDescent="0.25">
      <c r="A61" s="7">
        <v>25</v>
      </c>
      <c r="B61" s="7" t="str" cm="1">
        <f t="array" aca="1" ref="B61" ca="1">IFERROR(_xlfn.AGGREGATE(15,6,ROW(INDIRECT("'"&amp;$Q$3&amp;"'!"&amp;$Q$6&amp;"2:"&amp;$Q$6&amp;"1000"))/(INDIRECT("'"&amp;$Q$3&amp;"'!"&amp;$Q$6&amp;"2:"&amp;$Q$6&amp;"1000")&lt;&gt;INDIRECT("'"&amp;$Q$3&amp;"'!"&amp;$Q$6&amp;"1:"&amp;$Q$6&amp;"999")),25),"")</f>
        <v/>
      </c>
      <c r="C61" s="7" t="str" cm="1">
        <f t="array" aca="1" ref="C61" ca="1">IF(B61="","",IF(INDIRECT("'"&amp;$Q$3&amp;"'!"&amp;$Q$6&amp;B61)=1,"ON","OFF"))</f>
        <v/>
      </c>
      <c r="D61" s="7" t="str" cm="1">
        <f t="array" aca="1" ref="D61" ca="1">IF(B61="","",(INDIRECT("'"&amp;$Q$3&amp;"'!A"&amp;B61)-INDIRECT("'"&amp;$Q$3&amp;"'!A1"))*86400)</f>
        <v/>
      </c>
      <c r="E61" s="7" t="str">
        <f t="shared" ca="1" si="0"/>
        <v/>
      </c>
      <c r="G61" s="7">
        <v>25</v>
      </c>
      <c r="H61" s="7" cm="1">
        <f t="array" aca="1" ref="H61" ca="1">IFERROR(_xlfn.AGGREGATE(15,6,ROW(INDIRECT("'"&amp;$Q$3&amp;"'!"&amp;$Q$7&amp;"2:"&amp;$Q$7&amp;"1000"))/(INDIRECT("'"&amp;$Q$3&amp;"'!"&amp;$Q$7&amp;"2:"&amp;$Q$7&amp;"1000")&lt;&gt;INDIRECT("'"&amp;$Q$3&amp;"'!"&amp;$Q$7&amp;"1:"&amp;$Q$7&amp;"999")),25),"")</f>
        <v>228</v>
      </c>
      <c r="I61" s="7" t="str" cm="1">
        <f t="array" aca="1" ref="I61" ca="1">IF(H61="","",IF(INDIRECT("'"&amp;$Q$3&amp;"'!"&amp;$Q$7&amp;H61)=1,"ON","OFF"))</f>
        <v>OFF</v>
      </c>
      <c r="J61" s="7" t="e" cm="1">
        <f t="array" aca="1" ref="J61" ca="1">IF(H61="","",(INDIRECT("'"&amp;$Q$3&amp;"'!A"&amp;H61)-INDIRECT("'"&amp;$Q$3&amp;"'!A1"))*86400)</f>
        <v>#VALUE!</v>
      </c>
      <c r="K61" s="7" t="e">
        <f t="shared" ca="1" si="1"/>
        <v>#VALUE!</v>
      </c>
    </row>
    <row r="62" spans="1:11" x14ac:dyDescent="0.25">
      <c r="A62" s="7">
        <v>26</v>
      </c>
      <c r="B62" s="7" t="str" cm="1">
        <f t="array" aca="1" ref="B62" ca="1">IFERROR(_xlfn.AGGREGATE(15,6,ROW(INDIRECT("'"&amp;$Q$3&amp;"'!"&amp;$Q$6&amp;"2:"&amp;$Q$6&amp;"1000"))/(INDIRECT("'"&amp;$Q$3&amp;"'!"&amp;$Q$6&amp;"2:"&amp;$Q$6&amp;"1000")&lt;&gt;INDIRECT("'"&amp;$Q$3&amp;"'!"&amp;$Q$6&amp;"1:"&amp;$Q$6&amp;"999")),26),"")</f>
        <v/>
      </c>
      <c r="C62" s="7" t="str" cm="1">
        <f t="array" aca="1" ref="C62" ca="1">IF(B62="","",IF(INDIRECT("'"&amp;$Q$3&amp;"'!"&amp;$Q$6&amp;B62)=1,"ON","OFF"))</f>
        <v/>
      </c>
      <c r="D62" s="7" t="str" cm="1">
        <f t="array" aca="1" ref="D62" ca="1">IF(B62="","",(INDIRECT("'"&amp;$Q$3&amp;"'!A"&amp;B62)-INDIRECT("'"&amp;$Q$3&amp;"'!A1"))*86400)</f>
        <v/>
      </c>
      <c r="E62" s="7" t="str">
        <f t="shared" ca="1" si="0"/>
        <v/>
      </c>
      <c r="G62" s="7">
        <v>26</v>
      </c>
      <c r="H62" s="7" cm="1">
        <f t="array" aca="1" ref="H62" ca="1">IFERROR(_xlfn.AGGREGATE(15,6,ROW(INDIRECT("'"&amp;$Q$3&amp;"'!"&amp;$Q$7&amp;"2:"&amp;$Q$7&amp;"1000"))/(INDIRECT("'"&amp;$Q$3&amp;"'!"&amp;$Q$7&amp;"2:"&amp;$Q$7&amp;"1000")&lt;&gt;INDIRECT("'"&amp;$Q$3&amp;"'!"&amp;$Q$7&amp;"1:"&amp;$Q$7&amp;"999")),26),"")</f>
        <v>246</v>
      </c>
      <c r="I62" s="7" t="str" cm="1">
        <f t="array" aca="1" ref="I62" ca="1">IF(H62="","",IF(INDIRECT("'"&amp;$Q$3&amp;"'!"&amp;$Q$7&amp;H62)=1,"ON","OFF"))</f>
        <v>ON</v>
      </c>
      <c r="J62" s="7" t="e" cm="1">
        <f t="array" aca="1" ref="J62" ca="1">IF(H62="","",(INDIRECT("'"&amp;$Q$3&amp;"'!A"&amp;H62)-INDIRECT("'"&amp;$Q$3&amp;"'!A1"))*86400)</f>
        <v>#VALUE!</v>
      </c>
      <c r="K62" s="7" t="e">
        <f t="shared" ca="1" si="1"/>
        <v>#VALUE!</v>
      </c>
    </row>
    <row r="63" spans="1:11" x14ac:dyDescent="0.25">
      <c r="A63" s="7">
        <v>27</v>
      </c>
      <c r="B63" s="7" t="str" cm="1">
        <f t="array" aca="1" ref="B63" ca="1">IFERROR(_xlfn.AGGREGATE(15,6,ROW(INDIRECT("'"&amp;$Q$3&amp;"'!"&amp;$Q$6&amp;"2:"&amp;$Q$6&amp;"1000"))/(INDIRECT("'"&amp;$Q$3&amp;"'!"&amp;$Q$6&amp;"2:"&amp;$Q$6&amp;"1000")&lt;&gt;INDIRECT("'"&amp;$Q$3&amp;"'!"&amp;$Q$6&amp;"1:"&amp;$Q$6&amp;"999")),27),"")</f>
        <v/>
      </c>
      <c r="C63" s="7" t="str" cm="1">
        <f t="array" aca="1" ref="C63" ca="1">IF(B63="","",IF(INDIRECT("'"&amp;$Q$3&amp;"'!"&amp;$Q$6&amp;B63)=1,"ON","OFF"))</f>
        <v/>
      </c>
      <c r="D63" s="7" t="str" cm="1">
        <f t="array" aca="1" ref="D63" ca="1">IF(B63="","",(INDIRECT("'"&amp;$Q$3&amp;"'!A"&amp;B63)-INDIRECT("'"&amp;$Q$3&amp;"'!A1"))*86400)</f>
        <v/>
      </c>
      <c r="E63" s="7" t="str">
        <f t="shared" ca="1" si="0"/>
        <v/>
      </c>
      <c r="G63" s="7">
        <v>27</v>
      </c>
      <c r="H63" s="7" cm="1">
        <f t="array" aca="1" ref="H63" ca="1">IFERROR(_xlfn.AGGREGATE(15,6,ROW(INDIRECT("'"&amp;$Q$3&amp;"'!"&amp;$Q$7&amp;"2:"&amp;$Q$7&amp;"1000"))/(INDIRECT("'"&amp;$Q$3&amp;"'!"&amp;$Q$7&amp;"2:"&amp;$Q$7&amp;"1000")&lt;&gt;INDIRECT("'"&amp;$Q$3&amp;"'!"&amp;$Q$7&amp;"1:"&amp;$Q$7&amp;"999")),27),"")</f>
        <v>248</v>
      </c>
      <c r="I63" s="7" t="str" cm="1">
        <f t="array" aca="1" ref="I63" ca="1">IF(H63="","",IF(INDIRECT("'"&amp;$Q$3&amp;"'!"&amp;$Q$7&amp;H63)=1,"ON","OFF"))</f>
        <v>OFF</v>
      </c>
      <c r="J63" s="7" t="e" cm="1">
        <f t="array" aca="1" ref="J63" ca="1">IF(H63="","",(INDIRECT("'"&amp;$Q$3&amp;"'!A"&amp;H63)-INDIRECT("'"&amp;$Q$3&amp;"'!A1"))*86400)</f>
        <v>#VALUE!</v>
      </c>
      <c r="K63" s="7" t="e">
        <f t="shared" ca="1" si="1"/>
        <v>#VALUE!</v>
      </c>
    </row>
    <row r="64" spans="1:11" x14ac:dyDescent="0.25">
      <c r="A64" s="7">
        <v>28</v>
      </c>
      <c r="B64" s="7" t="str" cm="1">
        <f t="array" aca="1" ref="B64" ca="1">IFERROR(_xlfn.AGGREGATE(15,6,ROW(INDIRECT("'"&amp;$Q$3&amp;"'!"&amp;$Q$6&amp;"2:"&amp;$Q$6&amp;"1000"))/(INDIRECT("'"&amp;$Q$3&amp;"'!"&amp;$Q$6&amp;"2:"&amp;$Q$6&amp;"1000")&lt;&gt;INDIRECT("'"&amp;$Q$3&amp;"'!"&amp;$Q$6&amp;"1:"&amp;$Q$6&amp;"999")),28),"")</f>
        <v/>
      </c>
      <c r="C64" s="7" t="str" cm="1">
        <f t="array" aca="1" ref="C64" ca="1">IF(B64="","",IF(INDIRECT("'"&amp;$Q$3&amp;"'!"&amp;$Q$6&amp;B64)=1,"ON","OFF"))</f>
        <v/>
      </c>
      <c r="D64" s="7" t="str" cm="1">
        <f t="array" aca="1" ref="D64" ca="1">IF(B64="","",(INDIRECT("'"&amp;$Q$3&amp;"'!A"&amp;B64)-INDIRECT("'"&amp;$Q$3&amp;"'!A1"))*86400)</f>
        <v/>
      </c>
      <c r="E64" s="7" t="str">
        <f t="shared" ca="1" si="0"/>
        <v/>
      </c>
      <c r="G64" s="7">
        <v>28</v>
      </c>
      <c r="H64" s="7" cm="1">
        <f t="array" aca="1" ref="H64" ca="1">IFERROR(_xlfn.AGGREGATE(15,6,ROW(INDIRECT("'"&amp;$Q$3&amp;"'!"&amp;$Q$7&amp;"2:"&amp;$Q$7&amp;"1000"))/(INDIRECT("'"&amp;$Q$3&amp;"'!"&amp;$Q$7&amp;"2:"&amp;$Q$7&amp;"1000")&lt;&gt;INDIRECT("'"&amp;$Q$3&amp;"'!"&amp;$Q$7&amp;"1:"&amp;$Q$7&amp;"999")),28),"")</f>
        <v>266</v>
      </c>
      <c r="I64" s="7" t="str" cm="1">
        <f t="array" aca="1" ref="I64" ca="1">IF(H64="","",IF(INDIRECT("'"&amp;$Q$3&amp;"'!"&amp;$Q$7&amp;H64)=1,"ON","OFF"))</f>
        <v>ON</v>
      </c>
      <c r="J64" s="7" t="e" cm="1">
        <f t="array" aca="1" ref="J64" ca="1">IF(H64="","",(INDIRECT("'"&amp;$Q$3&amp;"'!A"&amp;H64)-INDIRECT("'"&amp;$Q$3&amp;"'!A1"))*86400)</f>
        <v>#VALUE!</v>
      </c>
      <c r="K64" s="7" t="e">
        <f t="shared" ca="1" si="1"/>
        <v>#VALUE!</v>
      </c>
    </row>
    <row r="65" spans="1:11" x14ac:dyDescent="0.25">
      <c r="A65" s="7">
        <v>29</v>
      </c>
      <c r="B65" s="7" t="str" cm="1">
        <f t="array" aca="1" ref="B65" ca="1">IFERROR(_xlfn.AGGREGATE(15,6,ROW(INDIRECT("'"&amp;$Q$3&amp;"'!"&amp;$Q$6&amp;"2:"&amp;$Q$6&amp;"1000"))/(INDIRECT("'"&amp;$Q$3&amp;"'!"&amp;$Q$6&amp;"2:"&amp;$Q$6&amp;"1000")&lt;&gt;INDIRECT("'"&amp;$Q$3&amp;"'!"&amp;$Q$6&amp;"1:"&amp;$Q$6&amp;"999")),29),"")</f>
        <v/>
      </c>
      <c r="C65" s="7" t="str" cm="1">
        <f t="array" aca="1" ref="C65" ca="1">IF(B65="","",IF(INDIRECT("'"&amp;$Q$3&amp;"'!"&amp;$Q$6&amp;B65)=1,"ON","OFF"))</f>
        <v/>
      </c>
      <c r="D65" s="7" t="str" cm="1">
        <f t="array" aca="1" ref="D65" ca="1">IF(B65="","",(INDIRECT("'"&amp;$Q$3&amp;"'!A"&amp;B65)-INDIRECT("'"&amp;$Q$3&amp;"'!A1"))*86400)</f>
        <v/>
      </c>
      <c r="E65" s="7" t="str">
        <f t="shared" ca="1" si="0"/>
        <v/>
      </c>
      <c r="G65" s="7">
        <v>29</v>
      </c>
      <c r="H65" s="7" cm="1">
        <f t="array" aca="1" ref="H65" ca="1">IFERROR(_xlfn.AGGREGATE(15,6,ROW(INDIRECT("'"&amp;$Q$3&amp;"'!"&amp;$Q$7&amp;"2:"&amp;$Q$7&amp;"1000"))/(INDIRECT("'"&amp;$Q$3&amp;"'!"&amp;$Q$7&amp;"2:"&amp;$Q$7&amp;"1000")&lt;&gt;INDIRECT("'"&amp;$Q$3&amp;"'!"&amp;$Q$7&amp;"1:"&amp;$Q$7&amp;"999")),29),"")</f>
        <v>268</v>
      </c>
      <c r="I65" s="7" t="str" cm="1">
        <f t="array" aca="1" ref="I65" ca="1">IF(H65="","",IF(INDIRECT("'"&amp;$Q$3&amp;"'!"&amp;$Q$7&amp;H65)=1,"ON","OFF"))</f>
        <v>OFF</v>
      </c>
      <c r="J65" s="7" t="e" cm="1">
        <f t="array" aca="1" ref="J65" ca="1">IF(H65="","",(INDIRECT("'"&amp;$Q$3&amp;"'!A"&amp;H65)-INDIRECT("'"&amp;$Q$3&amp;"'!A1"))*86400)</f>
        <v>#VALUE!</v>
      </c>
      <c r="K65" s="7" t="e">
        <f t="shared" ca="1" si="1"/>
        <v>#VALUE!</v>
      </c>
    </row>
    <row r="66" spans="1:11" x14ac:dyDescent="0.25">
      <c r="A66" s="7">
        <v>30</v>
      </c>
      <c r="B66" s="7" t="str" cm="1">
        <f t="array" aca="1" ref="B66" ca="1">IFERROR(_xlfn.AGGREGATE(15,6,ROW(INDIRECT("'"&amp;$Q$3&amp;"'!"&amp;$Q$6&amp;"2:"&amp;$Q$6&amp;"1000"))/(INDIRECT("'"&amp;$Q$3&amp;"'!"&amp;$Q$6&amp;"2:"&amp;$Q$6&amp;"1000")&lt;&gt;INDIRECT("'"&amp;$Q$3&amp;"'!"&amp;$Q$6&amp;"1:"&amp;$Q$6&amp;"999")),30),"")</f>
        <v/>
      </c>
      <c r="C66" s="7" t="str" cm="1">
        <f t="array" aca="1" ref="C66" ca="1">IF(B66="","",IF(INDIRECT("'"&amp;$Q$3&amp;"'!"&amp;$Q$6&amp;B66)=1,"ON","OFF"))</f>
        <v/>
      </c>
      <c r="D66" s="7" t="str" cm="1">
        <f t="array" aca="1" ref="D66" ca="1">IF(B66="","",(INDIRECT("'"&amp;$Q$3&amp;"'!A"&amp;B66)-INDIRECT("'"&amp;$Q$3&amp;"'!A1"))*86400)</f>
        <v/>
      </c>
      <c r="E66" s="7" t="str">
        <f t="shared" ca="1" si="0"/>
        <v/>
      </c>
      <c r="G66" s="7">
        <v>30</v>
      </c>
      <c r="H66" s="7" cm="1">
        <f t="array" aca="1" ref="H66" ca="1">IFERROR(_xlfn.AGGREGATE(15,6,ROW(INDIRECT("'"&amp;$Q$3&amp;"'!"&amp;$Q$7&amp;"2:"&amp;$Q$7&amp;"1000"))/(INDIRECT("'"&amp;$Q$3&amp;"'!"&amp;$Q$7&amp;"2:"&amp;$Q$7&amp;"1000")&lt;&gt;INDIRECT("'"&amp;$Q$3&amp;"'!"&amp;$Q$7&amp;"1:"&amp;$Q$7&amp;"999")),30),"")</f>
        <v>286</v>
      </c>
      <c r="I66" s="7" t="str" cm="1">
        <f t="array" aca="1" ref="I66" ca="1">IF(H66="","",IF(INDIRECT("'"&amp;$Q$3&amp;"'!"&amp;$Q$7&amp;H66)=1,"ON","OFF"))</f>
        <v>ON</v>
      </c>
      <c r="J66" s="7" t="e" cm="1">
        <f t="array" aca="1" ref="J66" ca="1">IF(H66="","",(INDIRECT("'"&amp;$Q$3&amp;"'!A"&amp;H66)-INDIRECT("'"&amp;$Q$3&amp;"'!A1"))*86400)</f>
        <v>#VALUE!</v>
      </c>
      <c r="K66" s="7" t="e">
        <f t="shared" ca="1" si="1"/>
        <v>#VALUE!</v>
      </c>
    </row>
    <row r="67" spans="1:11" x14ac:dyDescent="0.25">
      <c r="A67" s="7">
        <v>31</v>
      </c>
      <c r="B67" s="7" t="str" cm="1">
        <f t="array" aca="1" ref="B67" ca="1">IFERROR(_xlfn.AGGREGATE(15,6,ROW(INDIRECT("'"&amp;$Q$3&amp;"'!"&amp;$Q$6&amp;"2:"&amp;$Q$6&amp;"1000"))/(INDIRECT("'"&amp;$Q$3&amp;"'!"&amp;$Q$6&amp;"2:"&amp;$Q$6&amp;"1000")&lt;&gt;INDIRECT("'"&amp;$Q$3&amp;"'!"&amp;$Q$6&amp;"1:"&amp;$Q$6&amp;"999")),31),"")</f>
        <v/>
      </c>
      <c r="C67" s="7" t="str" cm="1">
        <f t="array" aca="1" ref="C67" ca="1">IF(B67="","",IF(INDIRECT("'"&amp;$Q$3&amp;"'!"&amp;$Q$6&amp;B67)=1,"ON","OFF"))</f>
        <v/>
      </c>
      <c r="D67" s="7" t="str" cm="1">
        <f t="array" aca="1" ref="D67" ca="1">IF(B67="","",(INDIRECT("'"&amp;$Q$3&amp;"'!A"&amp;B67)-INDIRECT("'"&amp;$Q$3&amp;"'!A1"))*86400)</f>
        <v/>
      </c>
      <c r="E67" s="7" t="str">
        <f t="shared" ca="1" si="0"/>
        <v/>
      </c>
      <c r="G67" s="7">
        <v>31</v>
      </c>
      <c r="H67" s="7" cm="1">
        <f t="array" aca="1" ref="H67" ca="1">IFERROR(_xlfn.AGGREGATE(15,6,ROW(INDIRECT("'"&amp;$Q$3&amp;"'!"&amp;$Q$7&amp;"2:"&amp;$Q$7&amp;"1000"))/(INDIRECT("'"&amp;$Q$3&amp;"'!"&amp;$Q$7&amp;"2:"&amp;$Q$7&amp;"1000")&lt;&gt;INDIRECT("'"&amp;$Q$3&amp;"'!"&amp;$Q$7&amp;"1:"&amp;$Q$7&amp;"999")),31),"")</f>
        <v>288</v>
      </c>
      <c r="I67" s="7" t="str" cm="1">
        <f t="array" aca="1" ref="I67" ca="1">IF(H67="","",IF(INDIRECT("'"&amp;$Q$3&amp;"'!"&amp;$Q$7&amp;H67)=1,"ON","OFF"))</f>
        <v>OFF</v>
      </c>
      <c r="J67" s="7" t="e" cm="1">
        <f t="array" aca="1" ref="J67" ca="1">IF(H67="","",(INDIRECT("'"&amp;$Q$3&amp;"'!A"&amp;H67)-INDIRECT("'"&amp;$Q$3&amp;"'!A1"))*86400)</f>
        <v>#VALUE!</v>
      </c>
      <c r="K67" s="7" t="e">
        <f t="shared" ca="1" si="1"/>
        <v>#VALUE!</v>
      </c>
    </row>
    <row r="68" spans="1:11" x14ac:dyDescent="0.25">
      <c r="A68" s="7">
        <v>32</v>
      </c>
      <c r="B68" s="7" t="str" cm="1">
        <f t="array" aca="1" ref="B68" ca="1">IFERROR(_xlfn.AGGREGATE(15,6,ROW(INDIRECT("'"&amp;$Q$3&amp;"'!"&amp;$Q$6&amp;"2:"&amp;$Q$6&amp;"1000"))/(INDIRECT("'"&amp;$Q$3&amp;"'!"&amp;$Q$6&amp;"2:"&amp;$Q$6&amp;"1000")&lt;&gt;INDIRECT("'"&amp;$Q$3&amp;"'!"&amp;$Q$6&amp;"1:"&amp;$Q$6&amp;"999")),32),"")</f>
        <v/>
      </c>
      <c r="C68" s="7" t="str" cm="1">
        <f t="array" aca="1" ref="C68" ca="1">IF(B68="","",IF(INDIRECT("'"&amp;$Q$3&amp;"'!"&amp;$Q$6&amp;B68)=1,"ON","OFF"))</f>
        <v/>
      </c>
      <c r="D68" s="7" t="str" cm="1">
        <f t="array" aca="1" ref="D68" ca="1">IF(B68="","",(INDIRECT("'"&amp;$Q$3&amp;"'!A"&amp;B68)-INDIRECT("'"&amp;$Q$3&amp;"'!A1"))*86400)</f>
        <v/>
      </c>
      <c r="E68" s="7" t="str">
        <f t="shared" ca="1" si="0"/>
        <v/>
      </c>
      <c r="G68" s="7">
        <v>32</v>
      </c>
      <c r="H68" s="7" cm="1">
        <f t="array" aca="1" ref="H68" ca="1">IFERROR(_xlfn.AGGREGATE(15,6,ROW(INDIRECT("'"&amp;$Q$3&amp;"'!"&amp;$Q$7&amp;"2:"&amp;$Q$7&amp;"1000"))/(INDIRECT("'"&amp;$Q$3&amp;"'!"&amp;$Q$7&amp;"2:"&amp;$Q$7&amp;"1000")&lt;&gt;INDIRECT("'"&amp;$Q$3&amp;"'!"&amp;$Q$7&amp;"1:"&amp;$Q$7&amp;"999")),32),"")</f>
        <v>305</v>
      </c>
      <c r="I68" s="7" t="str" cm="1">
        <f t="array" aca="1" ref="I68" ca="1">IF(H68="","",IF(INDIRECT("'"&amp;$Q$3&amp;"'!"&amp;$Q$7&amp;H68)=1,"ON","OFF"))</f>
        <v>ON</v>
      </c>
      <c r="J68" s="7" t="e" cm="1">
        <f t="array" aca="1" ref="J68" ca="1">IF(H68="","",(INDIRECT("'"&amp;$Q$3&amp;"'!A"&amp;H68)-INDIRECT("'"&amp;$Q$3&amp;"'!A1"))*86400)</f>
        <v>#VALUE!</v>
      </c>
      <c r="K68" s="7" t="e">
        <f t="shared" ca="1" si="1"/>
        <v>#VALUE!</v>
      </c>
    </row>
    <row r="69" spans="1:11" x14ac:dyDescent="0.25">
      <c r="A69" s="7">
        <v>33</v>
      </c>
      <c r="B69" s="7" t="str" cm="1">
        <f t="array" aca="1" ref="B69" ca="1">IFERROR(_xlfn.AGGREGATE(15,6,ROW(INDIRECT("'"&amp;$Q$3&amp;"'!"&amp;$Q$6&amp;"2:"&amp;$Q$6&amp;"1000"))/(INDIRECT("'"&amp;$Q$3&amp;"'!"&amp;$Q$6&amp;"2:"&amp;$Q$6&amp;"1000")&lt;&gt;INDIRECT("'"&amp;$Q$3&amp;"'!"&amp;$Q$6&amp;"1:"&amp;$Q$6&amp;"999")),33),"")</f>
        <v/>
      </c>
      <c r="C69" s="7" t="str" cm="1">
        <f t="array" aca="1" ref="C69" ca="1">IF(B69="","",IF(INDIRECT("'"&amp;$Q$3&amp;"'!"&amp;$Q$6&amp;B69)=1,"ON","OFF"))</f>
        <v/>
      </c>
      <c r="D69" s="7" t="str" cm="1">
        <f t="array" aca="1" ref="D69" ca="1">IF(B69="","",(INDIRECT("'"&amp;$Q$3&amp;"'!A"&amp;B69)-INDIRECT("'"&amp;$Q$3&amp;"'!A1"))*86400)</f>
        <v/>
      </c>
      <c r="E69" s="7" t="str">
        <f t="shared" ca="1" si="0"/>
        <v/>
      </c>
      <c r="G69" s="7">
        <v>33</v>
      </c>
      <c r="H69" s="7" cm="1">
        <f t="array" aca="1" ref="H69" ca="1">IFERROR(_xlfn.AGGREGATE(15,6,ROW(INDIRECT("'"&amp;$Q$3&amp;"'!"&amp;$Q$7&amp;"2:"&amp;$Q$7&amp;"1000"))/(INDIRECT("'"&amp;$Q$3&amp;"'!"&amp;$Q$7&amp;"2:"&amp;$Q$7&amp;"1000")&lt;&gt;INDIRECT("'"&amp;$Q$3&amp;"'!"&amp;$Q$7&amp;"1:"&amp;$Q$7&amp;"999")),33),"")</f>
        <v>307</v>
      </c>
      <c r="I69" s="7" t="str" cm="1">
        <f t="array" aca="1" ref="I69" ca="1">IF(H69="","",IF(INDIRECT("'"&amp;$Q$3&amp;"'!"&amp;$Q$7&amp;H69)=1,"ON","OFF"))</f>
        <v>OFF</v>
      </c>
      <c r="J69" s="7" t="e" cm="1">
        <f t="array" aca="1" ref="J69" ca="1">IF(H69="","",(INDIRECT("'"&amp;$Q$3&amp;"'!A"&amp;H69)-INDIRECT("'"&amp;$Q$3&amp;"'!A1"))*86400)</f>
        <v>#VALUE!</v>
      </c>
      <c r="K69" s="7" t="e">
        <f t="shared" ca="1" si="1"/>
        <v>#VALUE!</v>
      </c>
    </row>
    <row r="70" spans="1:11" x14ac:dyDescent="0.25">
      <c r="A70" s="7">
        <v>34</v>
      </c>
      <c r="B70" s="7" t="str" cm="1">
        <f t="array" aca="1" ref="B70" ca="1">IFERROR(_xlfn.AGGREGATE(15,6,ROW(INDIRECT("'"&amp;$Q$3&amp;"'!"&amp;$Q$6&amp;"2:"&amp;$Q$6&amp;"1000"))/(INDIRECT("'"&amp;$Q$3&amp;"'!"&amp;$Q$6&amp;"2:"&amp;$Q$6&amp;"1000")&lt;&gt;INDIRECT("'"&amp;$Q$3&amp;"'!"&amp;$Q$6&amp;"1:"&amp;$Q$6&amp;"999")),34),"")</f>
        <v/>
      </c>
      <c r="C70" s="7" t="str" cm="1">
        <f t="array" aca="1" ref="C70" ca="1">IF(B70="","",IF(INDIRECT("'"&amp;$Q$3&amp;"'!"&amp;$Q$6&amp;B70)=1,"ON","OFF"))</f>
        <v/>
      </c>
      <c r="D70" s="7" t="str" cm="1">
        <f t="array" aca="1" ref="D70" ca="1">IF(B70="","",(INDIRECT("'"&amp;$Q$3&amp;"'!A"&amp;B70)-INDIRECT("'"&amp;$Q$3&amp;"'!A1"))*86400)</f>
        <v/>
      </c>
      <c r="E70" s="7" t="str">
        <f t="shared" ca="1" si="0"/>
        <v/>
      </c>
      <c r="G70" s="7">
        <v>34</v>
      </c>
      <c r="H70" s="7" cm="1">
        <f t="array" aca="1" ref="H70" ca="1">IFERROR(_xlfn.AGGREGATE(15,6,ROW(INDIRECT("'"&amp;$Q$3&amp;"'!"&amp;$Q$7&amp;"2:"&amp;$Q$7&amp;"1000"))/(INDIRECT("'"&amp;$Q$3&amp;"'!"&amp;$Q$7&amp;"2:"&amp;$Q$7&amp;"1000")&lt;&gt;INDIRECT("'"&amp;$Q$3&amp;"'!"&amp;$Q$7&amp;"1:"&amp;$Q$7&amp;"999")),34),"")</f>
        <v>325</v>
      </c>
      <c r="I70" s="7" t="str" cm="1">
        <f t="array" aca="1" ref="I70" ca="1">IF(H70="","",IF(INDIRECT("'"&amp;$Q$3&amp;"'!"&amp;$Q$7&amp;H70)=1,"ON","OFF"))</f>
        <v>ON</v>
      </c>
      <c r="J70" s="7" t="e" cm="1">
        <f t="array" aca="1" ref="J70" ca="1">IF(H70="","",(INDIRECT("'"&amp;$Q$3&amp;"'!A"&amp;H70)-INDIRECT("'"&amp;$Q$3&amp;"'!A1"))*86400)</f>
        <v>#VALUE!</v>
      </c>
      <c r="K70" s="7" t="e">
        <f t="shared" ca="1" si="1"/>
        <v>#VALUE!</v>
      </c>
    </row>
    <row r="71" spans="1:11" x14ac:dyDescent="0.25">
      <c r="A71" s="7">
        <v>35</v>
      </c>
      <c r="B71" s="7" t="str" cm="1">
        <f t="array" aca="1" ref="B71" ca="1">IFERROR(_xlfn.AGGREGATE(15,6,ROW(INDIRECT("'"&amp;$Q$3&amp;"'!"&amp;$Q$6&amp;"2:"&amp;$Q$6&amp;"1000"))/(INDIRECT("'"&amp;$Q$3&amp;"'!"&amp;$Q$6&amp;"2:"&amp;$Q$6&amp;"1000")&lt;&gt;INDIRECT("'"&amp;$Q$3&amp;"'!"&amp;$Q$6&amp;"1:"&amp;$Q$6&amp;"999")),35),"")</f>
        <v/>
      </c>
      <c r="C71" s="7" t="str" cm="1">
        <f t="array" aca="1" ref="C71" ca="1">IF(B71="","",IF(INDIRECT("'"&amp;$Q$3&amp;"'!"&amp;$Q$6&amp;B71)=1,"ON","OFF"))</f>
        <v/>
      </c>
      <c r="D71" s="7" t="str" cm="1">
        <f t="array" aca="1" ref="D71" ca="1">IF(B71="","",(INDIRECT("'"&amp;$Q$3&amp;"'!A"&amp;B71)-INDIRECT("'"&amp;$Q$3&amp;"'!A1"))*86400)</f>
        <v/>
      </c>
      <c r="E71" s="7" t="str">
        <f t="shared" ca="1" si="0"/>
        <v/>
      </c>
      <c r="G71" s="7">
        <v>35</v>
      </c>
      <c r="H71" s="7" cm="1">
        <f t="array" aca="1" ref="H71" ca="1">IFERROR(_xlfn.AGGREGATE(15,6,ROW(INDIRECT("'"&amp;$Q$3&amp;"'!"&amp;$Q$7&amp;"2:"&amp;$Q$7&amp;"1000"))/(INDIRECT("'"&amp;$Q$3&amp;"'!"&amp;$Q$7&amp;"2:"&amp;$Q$7&amp;"1000")&lt;&gt;INDIRECT("'"&amp;$Q$3&amp;"'!"&amp;$Q$7&amp;"1:"&amp;$Q$7&amp;"999")),35),"")</f>
        <v>327</v>
      </c>
      <c r="I71" s="7" t="str" cm="1">
        <f t="array" aca="1" ref="I71" ca="1">IF(H71="","",IF(INDIRECT("'"&amp;$Q$3&amp;"'!"&amp;$Q$7&amp;H71)=1,"ON","OFF"))</f>
        <v>OFF</v>
      </c>
      <c r="J71" s="7" t="e" cm="1">
        <f t="array" aca="1" ref="J71" ca="1">IF(H71="","",(INDIRECT("'"&amp;$Q$3&amp;"'!A"&amp;H71)-INDIRECT("'"&amp;$Q$3&amp;"'!A1"))*86400)</f>
        <v>#VALUE!</v>
      </c>
      <c r="K71" s="7" t="e">
        <f t="shared" ca="1" si="1"/>
        <v>#VALUE!</v>
      </c>
    </row>
    <row r="72" spans="1:11" x14ac:dyDescent="0.25">
      <c r="A72" s="7">
        <v>36</v>
      </c>
      <c r="B72" s="7" t="str" cm="1">
        <f t="array" aca="1" ref="B72" ca="1">IFERROR(_xlfn.AGGREGATE(15,6,ROW(INDIRECT("'"&amp;$Q$3&amp;"'!"&amp;$Q$6&amp;"2:"&amp;$Q$6&amp;"1000"))/(INDIRECT("'"&amp;$Q$3&amp;"'!"&amp;$Q$6&amp;"2:"&amp;$Q$6&amp;"1000")&lt;&gt;INDIRECT("'"&amp;$Q$3&amp;"'!"&amp;$Q$6&amp;"1:"&amp;$Q$6&amp;"999")),36),"")</f>
        <v/>
      </c>
      <c r="C72" s="7" t="str" cm="1">
        <f t="array" aca="1" ref="C72" ca="1">IF(B72="","",IF(INDIRECT("'"&amp;$Q$3&amp;"'!"&amp;$Q$6&amp;B72)=1,"ON","OFF"))</f>
        <v/>
      </c>
      <c r="D72" s="7" t="str" cm="1">
        <f t="array" aca="1" ref="D72" ca="1">IF(B72="","",(INDIRECT("'"&amp;$Q$3&amp;"'!A"&amp;B72)-INDIRECT("'"&amp;$Q$3&amp;"'!A1"))*86400)</f>
        <v/>
      </c>
      <c r="E72" s="7" t="str">
        <f t="shared" ca="1" si="0"/>
        <v/>
      </c>
      <c r="G72" s="7">
        <v>36</v>
      </c>
      <c r="H72" s="7" cm="1">
        <f t="array" aca="1" ref="H72" ca="1">IFERROR(_xlfn.AGGREGATE(15,6,ROW(INDIRECT("'"&amp;$Q$3&amp;"'!"&amp;$Q$7&amp;"2:"&amp;$Q$7&amp;"1000"))/(INDIRECT("'"&amp;$Q$3&amp;"'!"&amp;$Q$7&amp;"2:"&amp;$Q$7&amp;"1000")&lt;&gt;INDIRECT("'"&amp;$Q$3&amp;"'!"&amp;$Q$7&amp;"1:"&amp;$Q$7&amp;"999")),36),"")</f>
        <v>345</v>
      </c>
      <c r="I72" s="7" t="str" cm="1">
        <f t="array" aca="1" ref="I72" ca="1">IF(H72="","",IF(INDIRECT("'"&amp;$Q$3&amp;"'!"&amp;$Q$7&amp;H72)=1,"ON","OFF"))</f>
        <v>ON</v>
      </c>
      <c r="J72" s="7" t="e" cm="1">
        <f t="array" aca="1" ref="J72" ca="1">IF(H72="","",(INDIRECT("'"&amp;$Q$3&amp;"'!A"&amp;H72)-INDIRECT("'"&amp;$Q$3&amp;"'!A1"))*86400)</f>
        <v>#VALUE!</v>
      </c>
      <c r="K72" s="7" t="e">
        <f t="shared" ca="1" si="1"/>
        <v>#VALUE!</v>
      </c>
    </row>
    <row r="73" spans="1:11" x14ac:dyDescent="0.25">
      <c r="A73" s="7">
        <v>37</v>
      </c>
      <c r="B73" s="7" t="str" cm="1">
        <f t="array" aca="1" ref="B73" ca="1">IFERROR(_xlfn.AGGREGATE(15,6,ROW(INDIRECT("'"&amp;$Q$3&amp;"'!"&amp;$Q$6&amp;"2:"&amp;$Q$6&amp;"1000"))/(INDIRECT("'"&amp;$Q$3&amp;"'!"&amp;$Q$6&amp;"2:"&amp;$Q$6&amp;"1000")&lt;&gt;INDIRECT("'"&amp;$Q$3&amp;"'!"&amp;$Q$6&amp;"1:"&amp;$Q$6&amp;"999")),37),"")</f>
        <v/>
      </c>
      <c r="C73" s="7" t="str" cm="1">
        <f t="array" aca="1" ref="C73" ca="1">IF(B73="","",IF(INDIRECT("'"&amp;$Q$3&amp;"'!"&amp;$Q$6&amp;B73)=1,"ON","OFF"))</f>
        <v/>
      </c>
      <c r="D73" s="7" t="str" cm="1">
        <f t="array" aca="1" ref="D73" ca="1">IF(B73="","",(INDIRECT("'"&amp;$Q$3&amp;"'!A"&amp;B73)-INDIRECT("'"&amp;$Q$3&amp;"'!A1"))*86400)</f>
        <v/>
      </c>
      <c r="E73" s="7" t="str">
        <f t="shared" ca="1" si="0"/>
        <v/>
      </c>
      <c r="G73" s="7">
        <v>37</v>
      </c>
      <c r="H73" s="7" cm="1">
        <f t="array" aca="1" ref="H73" ca="1">IFERROR(_xlfn.AGGREGATE(15,6,ROW(INDIRECT("'"&amp;$Q$3&amp;"'!"&amp;$Q$7&amp;"2:"&amp;$Q$7&amp;"1000"))/(INDIRECT("'"&amp;$Q$3&amp;"'!"&amp;$Q$7&amp;"2:"&amp;$Q$7&amp;"1000")&lt;&gt;INDIRECT("'"&amp;$Q$3&amp;"'!"&amp;$Q$7&amp;"1:"&amp;$Q$7&amp;"999")),37),"")</f>
        <v>347</v>
      </c>
      <c r="I73" s="7" t="str" cm="1">
        <f t="array" aca="1" ref="I73" ca="1">IF(H73="","",IF(INDIRECT("'"&amp;$Q$3&amp;"'!"&amp;$Q$7&amp;H73)=1,"ON","OFF"))</f>
        <v>OFF</v>
      </c>
      <c r="J73" s="7" t="e" cm="1">
        <f t="array" aca="1" ref="J73" ca="1">IF(H73="","",(INDIRECT("'"&amp;$Q$3&amp;"'!A"&amp;H73)-INDIRECT("'"&amp;$Q$3&amp;"'!A1"))*86400)</f>
        <v>#VALUE!</v>
      </c>
      <c r="K73" s="7" t="e">
        <f t="shared" ca="1" si="1"/>
        <v>#VALUE!</v>
      </c>
    </row>
    <row r="74" spans="1:11" x14ac:dyDescent="0.25">
      <c r="A74" s="7">
        <v>38</v>
      </c>
      <c r="B74" s="7" t="str" cm="1">
        <f t="array" aca="1" ref="B74" ca="1">IFERROR(_xlfn.AGGREGATE(15,6,ROW(INDIRECT("'"&amp;$Q$3&amp;"'!"&amp;$Q$6&amp;"2:"&amp;$Q$6&amp;"1000"))/(INDIRECT("'"&amp;$Q$3&amp;"'!"&amp;$Q$6&amp;"2:"&amp;$Q$6&amp;"1000")&lt;&gt;INDIRECT("'"&amp;$Q$3&amp;"'!"&amp;$Q$6&amp;"1:"&amp;$Q$6&amp;"999")),38),"")</f>
        <v/>
      </c>
      <c r="C74" s="7" t="str" cm="1">
        <f t="array" aca="1" ref="C74" ca="1">IF(B74="","",IF(INDIRECT("'"&amp;$Q$3&amp;"'!"&amp;$Q$6&amp;B74)=1,"ON","OFF"))</f>
        <v/>
      </c>
      <c r="D74" s="7" t="str" cm="1">
        <f t="array" aca="1" ref="D74" ca="1">IF(B74="","",(INDIRECT("'"&amp;$Q$3&amp;"'!A"&amp;B74)-INDIRECT("'"&amp;$Q$3&amp;"'!A1"))*86400)</f>
        <v/>
      </c>
      <c r="E74" s="7" t="str">
        <f t="shared" ca="1" si="0"/>
        <v/>
      </c>
      <c r="G74" s="7">
        <v>38</v>
      </c>
      <c r="H74" s="7" cm="1">
        <f t="array" aca="1" ref="H74" ca="1">IFERROR(_xlfn.AGGREGATE(15,6,ROW(INDIRECT("'"&amp;$Q$3&amp;"'!"&amp;$Q$7&amp;"2:"&amp;$Q$7&amp;"1000"))/(INDIRECT("'"&amp;$Q$3&amp;"'!"&amp;$Q$7&amp;"2:"&amp;$Q$7&amp;"1000")&lt;&gt;INDIRECT("'"&amp;$Q$3&amp;"'!"&amp;$Q$7&amp;"1:"&amp;$Q$7&amp;"999")),38),"")</f>
        <v>365</v>
      </c>
      <c r="I74" s="7" t="str" cm="1">
        <f t="array" aca="1" ref="I74" ca="1">IF(H74="","",IF(INDIRECT("'"&amp;$Q$3&amp;"'!"&amp;$Q$7&amp;H74)=1,"ON","OFF"))</f>
        <v>ON</v>
      </c>
      <c r="J74" s="7" t="e" cm="1">
        <f t="array" aca="1" ref="J74" ca="1">IF(H74="","",(INDIRECT("'"&amp;$Q$3&amp;"'!A"&amp;H74)-INDIRECT("'"&amp;$Q$3&amp;"'!A1"))*86400)</f>
        <v>#VALUE!</v>
      </c>
      <c r="K74" s="7" t="e">
        <f t="shared" ca="1" si="1"/>
        <v>#VALUE!</v>
      </c>
    </row>
    <row r="75" spans="1:11" x14ac:dyDescent="0.25">
      <c r="A75" s="7">
        <v>39</v>
      </c>
      <c r="B75" s="7" t="str" cm="1">
        <f t="array" aca="1" ref="B75" ca="1">IFERROR(_xlfn.AGGREGATE(15,6,ROW(INDIRECT("'"&amp;$Q$3&amp;"'!"&amp;$Q$6&amp;"2:"&amp;$Q$6&amp;"1000"))/(INDIRECT("'"&amp;$Q$3&amp;"'!"&amp;$Q$6&amp;"2:"&amp;$Q$6&amp;"1000")&lt;&gt;INDIRECT("'"&amp;$Q$3&amp;"'!"&amp;$Q$6&amp;"1:"&amp;$Q$6&amp;"999")),39),"")</f>
        <v/>
      </c>
      <c r="C75" s="7" t="str" cm="1">
        <f t="array" aca="1" ref="C75" ca="1">IF(B75="","",IF(INDIRECT("'"&amp;$Q$3&amp;"'!"&amp;$Q$6&amp;B75)=1,"ON","OFF"))</f>
        <v/>
      </c>
      <c r="D75" s="7" t="str" cm="1">
        <f t="array" aca="1" ref="D75" ca="1">IF(B75="","",(INDIRECT("'"&amp;$Q$3&amp;"'!A"&amp;B75)-INDIRECT("'"&amp;$Q$3&amp;"'!A1"))*86400)</f>
        <v/>
      </c>
      <c r="E75" s="7" t="str">
        <f t="shared" ca="1" si="0"/>
        <v/>
      </c>
      <c r="G75" s="7">
        <v>39</v>
      </c>
      <c r="H75" s="7" cm="1">
        <f t="array" aca="1" ref="H75" ca="1">IFERROR(_xlfn.AGGREGATE(15,6,ROW(INDIRECT("'"&amp;$Q$3&amp;"'!"&amp;$Q$7&amp;"2:"&amp;$Q$7&amp;"1000"))/(INDIRECT("'"&amp;$Q$3&amp;"'!"&amp;$Q$7&amp;"2:"&amp;$Q$7&amp;"1000")&lt;&gt;INDIRECT("'"&amp;$Q$3&amp;"'!"&amp;$Q$7&amp;"1:"&amp;$Q$7&amp;"999")),39),"")</f>
        <v>367</v>
      </c>
      <c r="I75" s="7" t="str" cm="1">
        <f t="array" aca="1" ref="I75" ca="1">IF(H75="","",IF(INDIRECT("'"&amp;$Q$3&amp;"'!"&amp;$Q$7&amp;H75)=1,"ON","OFF"))</f>
        <v>OFF</v>
      </c>
      <c r="J75" s="7" t="e" cm="1">
        <f t="array" aca="1" ref="J75" ca="1">IF(H75="","",(INDIRECT("'"&amp;$Q$3&amp;"'!A"&amp;H75)-INDIRECT("'"&amp;$Q$3&amp;"'!A1"))*86400)</f>
        <v>#VALUE!</v>
      </c>
      <c r="K75" s="7" t="e">
        <f t="shared" ca="1" si="1"/>
        <v>#VALUE!</v>
      </c>
    </row>
    <row r="76" spans="1:11" x14ac:dyDescent="0.25">
      <c r="A76" s="7">
        <v>40</v>
      </c>
      <c r="B76" s="7" t="str" cm="1">
        <f t="array" aca="1" ref="B76" ca="1">IFERROR(_xlfn.AGGREGATE(15,6,ROW(INDIRECT("'"&amp;$Q$3&amp;"'!"&amp;$Q$6&amp;"2:"&amp;$Q$6&amp;"1000"))/(INDIRECT("'"&amp;$Q$3&amp;"'!"&amp;$Q$6&amp;"2:"&amp;$Q$6&amp;"1000")&lt;&gt;INDIRECT("'"&amp;$Q$3&amp;"'!"&amp;$Q$6&amp;"1:"&amp;$Q$6&amp;"999")),40),"")</f>
        <v/>
      </c>
      <c r="C76" s="7" t="str" cm="1">
        <f t="array" aca="1" ref="C76" ca="1">IF(B76="","",IF(INDIRECT("'"&amp;$Q$3&amp;"'!"&amp;$Q$6&amp;B76)=1,"ON","OFF"))</f>
        <v/>
      </c>
      <c r="D76" s="7" t="str" cm="1">
        <f t="array" aca="1" ref="D76" ca="1">IF(B76="","",(INDIRECT("'"&amp;$Q$3&amp;"'!A"&amp;B76)-INDIRECT("'"&amp;$Q$3&amp;"'!A1"))*86400)</f>
        <v/>
      </c>
      <c r="E76" s="7" t="str">
        <f t="shared" ca="1" si="0"/>
        <v/>
      </c>
      <c r="G76" s="7">
        <v>40</v>
      </c>
      <c r="H76" s="7" cm="1">
        <f t="array" aca="1" ref="H76" ca="1">IFERROR(_xlfn.AGGREGATE(15,6,ROW(INDIRECT("'"&amp;$Q$3&amp;"'!"&amp;$Q$7&amp;"2:"&amp;$Q$7&amp;"1000"))/(INDIRECT("'"&amp;$Q$3&amp;"'!"&amp;$Q$7&amp;"2:"&amp;$Q$7&amp;"1000")&lt;&gt;INDIRECT("'"&amp;$Q$3&amp;"'!"&amp;$Q$7&amp;"1:"&amp;$Q$7&amp;"999")),40),"")</f>
        <v>385</v>
      </c>
      <c r="I76" s="7" t="str" cm="1">
        <f t="array" aca="1" ref="I76" ca="1">IF(H76="","",IF(INDIRECT("'"&amp;$Q$3&amp;"'!"&amp;$Q$7&amp;H76)=1,"ON","OFF"))</f>
        <v>ON</v>
      </c>
      <c r="J76" s="7" t="e" cm="1">
        <f t="array" aca="1" ref="J76" ca="1">IF(H76="","",(INDIRECT("'"&amp;$Q$3&amp;"'!A"&amp;H76)-INDIRECT("'"&amp;$Q$3&amp;"'!A1"))*86400)</f>
        <v>#VALUE!</v>
      </c>
      <c r="K76" s="7" t="str">
        <f t="shared" ca="1" si="1"/>
        <v/>
      </c>
    </row>
    <row r="77" spans="1:11" x14ac:dyDescent="0.25">
      <c r="H77" s="7"/>
    </row>
    <row r="78" spans="1:11" x14ac:dyDescent="0.25">
      <c r="H78" s="7"/>
    </row>
  </sheetData>
  <mergeCells count="21">
    <mergeCell ref="U9:AF9"/>
    <mergeCell ref="A14:E14"/>
    <mergeCell ref="G14:K14"/>
    <mergeCell ref="P18:S18"/>
    <mergeCell ref="A35:E35"/>
    <mergeCell ref="G35:K35"/>
    <mergeCell ref="P28:S28"/>
    <mergeCell ref="P29:S29"/>
    <mergeCell ref="P30:S30"/>
    <mergeCell ref="P31:S31"/>
    <mergeCell ref="P32:S32"/>
    <mergeCell ref="P33:S33"/>
    <mergeCell ref="A24:D24"/>
    <mergeCell ref="G24:K24"/>
    <mergeCell ref="A1:E1"/>
    <mergeCell ref="G1:K1"/>
    <mergeCell ref="P1:S1"/>
    <mergeCell ref="A3:D3"/>
    <mergeCell ref="G3:J3"/>
    <mergeCell ref="Q3:S3"/>
    <mergeCell ref="P9:S10"/>
  </mergeCells>
  <conditionalFormatting sqref="C37:C76">
    <cfRule type="expression" dxfId="11" priority="1">
      <formula>C37="ON"</formula>
    </cfRule>
    <cfRule type="expression" dxfId="10" priority="2">
      <formula>C37="OFF"</formula>
    </cfRule>
  </conditionalFormatting>
  <conditionalFormatting sqref="I37:I76">
    <cfRule type="expression" dxfId="9" priority="3">
      <formula>I37="ON"</formula>
    </cfRule>
    <cfRule type="expression" dxfId="8" priority="4">
      <formula>I37="OFF"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EAA6-C99D-470C-A1D4-5769362ADE57}">
  <dimension ref="A1:N200"/>
  <sheetViews>
    <sheetView zoomScale="85" zoomScaleNormal="85" workbookViewId="0">
      <selection activeCell="N11" sqref="N11"/>
    </sheetView>
  </sheetViews>
  <sheetFormatPr defaultRowHeight="15" x14ac:dyDescent="0.25"/>
  <cols>
    <col min="1" max="1" width="41.85546875" customWidth="1"/>
    <col min="2" max="2" width="19" customWidth="1"/>
    <col min="3" max="3" width="34.28515625" customWidth="1"/>
    <col min="5" max="5" width="20.42578125" customWidth="1"/>
    <col min="6" max="6" width="9.5703125" bestFit="1" customWidth="1"/>
    <col min="7" max="7" width="9.7109375" bestFit="1" customWidth="1"/>
    <col min="8" max="8" width="8.28515625" bestFit="1" customWidth="1"/>
    <col min="9" max="9" width="17.140625" customWidth="1"/>
    <col min="11" max="11" width="24.42578125" customWidth="1"/>
  </cols>
  <sheetData>
    <row r="1" spans="1:14" ht="18.75" x14ac:dyDescent="0.3">
      <c r="A1" s="133" t="s">
        <v>6</v>
      </c>
      <c r="B1" s="134"/>
      <c r="C1" s="134"/>
      <c r="D1" s="134"/>
      <c r="E1" s="134"/>
      <c r="F1" s="134"/>
      <c r="K1" s="135" t="s">
        <v>54</v>
      </c>
      <c r="L1" s="111"/>
      <c r="M1" s="111"/>
      <c r="N1" s="111"/>
    </row>
    <row r="3" spans="1:14" x14ac:dyDescent="0.25">
      <c r="A3" s="136" t="s">
        <v>7</v>
      </c>
      <c r="B3" s="137"/>
      <c r="C3" s="137"/>
      <c r="E3" s="138" t="s">
        <v>19</v>
      </c>
      <c r="F3" s="138"/>
      <c r="G3" s="138"/>
      <c r="H3" s="138"/>
      <c r="I3" s="138"/>
      <c r="K3" s="2" t="s">
        <v>55</v>
      </c>
      <c r="L3" s="139" t="s">
        <v>56</v>
      </c>
      <c r="M3" s="111"/>
      <c r="N3" s="111"/>
    </row>
    <row r="4" spans="1:14" x14ac:dyDescent="0.25">
      <c r="A4" s="15" t="s">
        <v>8</v>
      </c>
      <c r="B4" s="15" t="s">
        <v>9</v>
      </c>
      <c r="C4" s="15" t="s">
        <v>10</v>
      </c>
      <c r="E4" s="5" t="s">
        <v>3</v>
      </c>
      <c r="F4" s="5" t="s">
        <v>0</v>
      </c>
      <c r="G4" s="5" t="s">
        <v>4</v>
      </c>
      <c r="H4" s="5" t="s">
        <v>20</v>
      </c>
      <c r="I4" s="14" t="s">
        <v>53</v>
      </c>
    </row>
    <row r="5" spans="1:14" x14ac:dyDescent="0.25">
      <c r="A5" s="13" t="s">
        <v>11</v>
      </c>
      <c r="B5" s="16">
        <f ca="1">COUNTA(INDIRECT("'"&amp;$L$3&amp;"'!A:A"))</f>
        <v>1</v>
      </c>
      <c r="C5" s="11" t="s">
        <v>41</v>
      </c>
      <c r="E5" t="str">
        <f t="shared" ref="E5:E68" si="0">IF(F5&lt;&gt;"",ROW()-4,"")</f>
        <v/>
      </c>
      <c r="F5" t="str" cm="1">
        <f t="array" ref="F5">IFERROR(_xlfn._xlws.FILTER(#REF!,#REF!&lt;&gt;""),"")</f>
        <v/>
      </c>
      <c r="G5" t="str" cm="1">
        <f t="array" ref="G5">IFERROR(_xlfn._xlws.FILTER(#REF!,#REF!&lt;&gt;""),"")</f>
        <v/>
      </c>
      <c r="H5" s="6" t="str" cm="1">
        <f t="array" ref="H5">IFERROR(_xlfn._xlws.FILTER(#REF!,#REF!&lt;&gt;""),"")</f>
        <v/>
      </c>
      <c r="I5" s="4" t="str">
        <f>IFERROR(INDEX(#REF!,MATCH(F5,#REF!,0)),"")</f>
        <v/>
      </c>
      <c r="K5" t="s">
        <v>57</v>
      </c>
      <c r="L5" s="22" t="s">
        <v>58</v>
      </c>
    </row>
    <row r="6" spans="1:14" x14ac:dyDescent="0.25">
      <c r="A6" s="13" t="s">
        <v>12</v>
      </c>
      <c r="B6" s="16" t="e">
        <f ca="1">COUNTIF(INDIRECT("'"&amp;$L$3&amp;"'!E:E"),1)</f>
        <v>#REF!</v>
      </c>
      <c r="C6" s="11" t="s">
        <v>41</v>
      </c>
      <c r="E6" t="str">
        <f t="shared" si="0"/>
        <v/>
      </c>
      <c r="H6" s="6"/>
      <c r="I6" s="4" t="str">
        <f>IFERROR(INDEX(#REF!,MATCH(F6,#REF!,0)),"")</f>
        <v/>
      </c>
      <c r="K6" t="s">
        <v>59</v>
      </c>
      <c r="L6" s="22" t="s">
        <v>60</v>
      </c>
    </row>
    <row r="7" spans="1:14" x14ac:dyDescent="0.25">
      <c r="A7" s="13" t="s">
        <v>13</v>
      </c>
      <c r="B7" s="16" t="e">
        <f ca="1">COUNTIF(INDIRECT("'"&amp;$L$3&amp;"'!E:E"),0)</f>
        <v>#REF!</v>
      </c>
      <c r="C7" s="11" t="s">
        <v>41</v>
      </c>
      <c r="E7" t="str">
        <f t="shared" si="0"/>
        <v/>
      </c>
      <c r="H7" s="6"/>
      <c r="I7" s="4" t="str">
        <f>IFERROR(INDEX(#REF!,MATCH(F7,#REF!,0)),"")</f>
        <v/>
      </c>
    </row>
    <row r="8" spans="1:14" x14ac:dyDescent="0.25">
      <c r="A8" s="13" t="s">
        <v>14</v>
      </c>
      <c r="B8" s="17">
        <f ca="1">IFERROR(ROUND(B6/B5*100,2),0)</f>
        <v>0</v>
      </c>
      <c r="C8" s="11" t="s">
        <v>30</v>
      </c>
      <c r="E8" t="str">
        <f t="shared" si="0"/>
        <v/>
      </c>
      <c r="H8" s="6"/>
      <c r="I8" s="4" t="str">
        <f>IFERROR(INDEX(#REF!,MATCH(F8,#REF!,0)),"")</f>
        <v/>
      </c>
      <c r="K8" s="140" t="s">
        <v>61</v>
      </c>
      <c r="L8" s="111"/>
      <c r="M8" s="111"/>
      <c r="N8" s="111"/>
    </row>
    <row r="9" spans="1:14" x14ac:dyDescent="0.25">
      <c r="A9" s="13" t="s">
        <v>15</v>
      </c>
      <c r="B9" s="17" t="e" cm="1">
        <f t="array" aca="1" ref="B9" ca="1">SUMPRODUCT(--(INDIRECT("'"&amp;$L$3&amp;"'!E2:E"&amp;B5)=1),--(INDIRECT("'"&amp;$L$3&amp;"'!E1:E"&amp;(B5-1))=0))</f>
        <v>#REF!</v>
      </c>
      <c r="C9" s="11" t="s">
        <v>42</v>
      </c>
      <c r="E9" t="str">
        <f t="shared" si="0"/>
        <v/>
      </c>
      <c r="H9" s="6"/>
      <c r="I9" s="4" t="str">
        <f>IFERROR(INDEX(#REF!,MATCH(F9,#REF!,0)),"")</f>
        <v/>
      </c>
    </row>
    <row r="10" spans="1:14" x14ac:dyDescent="0.25">
      <c r="A10" s="13" t="s">
        <v>16</v>
      </c>
      <c r="B10" s="17" t="e" cm="1">
        <f t="array" aca="1" ref="B10" ca="1">SUMPRODUCT(--(INDIRECT("'"&amp;$L$3&amp;"'!E2:E"&amp;B5)=0),--(INDIRECT("'"&amp;$L$3&amp;"'!E1:E"&amp;(B5-1))=1))</f>
        <v>#REF!</v>
      </c>
      <c r="C10" s="11" t="s">
        <v>42</v>
      </c>
      <c r="E10" t="str">
        <f t="shared" si="0"/>
        <v/>
      </c>
      <c r="H10" s="6"/>
      <c r="I10" s="4" t="str">
        <f>IFERROR(INDEX(#REF!,MATCH(F10,#REF!,0)),"")</f>
        <v/>
      </c>
      <c r="K10" t="s">
        <v>66</v>
      </c>
      <c r="L10">
        <f ca="1">IFERROR(B13/(B5-1),0)</f>
        <v>0</v>
      </c>
    </row>
    <row r="11" spans="1:14" x14ac:dyDescent="0.25">
      <c r="A11" s="13" t="s">
        <v>17</v>
      </c>
      <c r="B11" s="17" t="e">
        <f ca="1">B9+B10</f>
        <v>#REF!</v>
      </c>
      <c r="C11" s="11" t="s">
        <v>42</v>
      </c>
      <c r="E11" t="str">
        <f t="shared" si="0"/>
        <v/>
      </c>
      <c r="H11" s="6"/>
      <c r="I11" s="4" t="str">
        <f>IFERROR(INDEX(#REF!,MATCH(F11,#REF!,0)),"")</f>
        <v/>
      </c>
    </row>
    <row r="12" spans="1:14" x14ac:dyDescent="0.25">
      <c r="A12" s="13" t="s">
        <v>18</v>
      </c>
      <c r="B12" s="17">
        <f ca="1">IFERROR(ROUND(B6/B9,2),0)</f>
        <v>0</v>
      </c>
      <c r="C12" s="11" t="s">
        <v>41</v>
      </c>
      <c r="E12" t="str">
        <f t="shared" si="0"/>
        <v/>
      </c>
      <c r="H12" s="6"/>
      <c r="I12" s="4" t="str">
        <f>IFERROR(INDEX(#REF!,MATCH(F12,#REF!,0)),"")</f>
        <v/>
      </c>
      <c r="K12" t="s">
        <v>75</v>
      </c>
      <c r="L12">
        <f ca="1">B5</f>
        <v>1</v>
      </c>
    </row>
    <row r="13" spans="1:14" x14ac:dyDescent="0.25">
      <c r="A13" s="13" t="s">
        <v>21</v>
      </c>
      <c r="B13" s="12" cm="1">
        <f t="array" aca="1" ref="B13" ca="1">IFERROR((INDIRECT("'"&amp;$L$3&amp;"'!A"&amp;COUNTA(INDIRECT("'"&amp;$L$3&amp;"'!A:A")))-INDIRECT("'"&amp;$L$3&amp;"'!A1"))*86400,0)</f>
        <v>0</v>
      </c>
      <c r="C13" s="11" t="s">
        <v>43</v>
      </c>
      <c r="E13" t="str">
        <f t="shared" si="0"/>
        <v/>
      </c>
      <c r="H13" s="6"/>
      <c r="I13" s="4" t="str">
        <f>IFERROR(INDEX(#REF!,MATCH(F13,#REF!,0)),"")</f>
        <v/>
      </c>
      <c r="K13" t="s">
        <v>76</v>
      </c>
      <c r="L13">
        <f ca="1">IFERROR(ROUND(1/$L$10,2),0)</f>
        <v>0</v>
      </c>
    </row>
    <row r="14" spans="1:14" x14ac:dyDescent="0.25">
      <c r="E14" t="str">
        <f t="shared" si="0"/>
        <v/>
      </c>
      <c r="H14" s="6"/>
      <c r="I14" s="4" t="str">
        <f>IFERROR(INDEX(#REF!,MATCH(F14,#REF!,0)),"")</f>
        <v/>
      </c>
    </row>
    <row r="15" spans="1:14" x14ac:dyDescent="0.25">
      <c r="A15" s="132" t="s">
        <v>22</v>
      </c>
      <c r="B15" s="141"/>
      <c r="C15" s="141"/>
      <c r="E15" t="str">
        <f t="shared" si="0"/>
        <v/>
      </c>
      <c r="H15" s="6"/>
      <c r="I15" s="4" t="str">
        <f>IFERROR(INDEX(#REF!,MATCH(F15,#REF!,0)),"")</f>
        <v/>
      </c>
      <c r="K15" s="142" t="s">
        <v>77</v>
      </c>
      <c r="L15" s="111"/>
      <c r="M15" s="111"/>
      <c r="N15" s="111"/>
    </row>
    <row r="16" spans="1:14" x14ac:dyDescent="0.25">
      <c r="A16" s="13" t="s">
        <v>8</v>
      </c>
      <c r="B16" s="13" t="s">
        <v>23</v>
      </c>
      <c r="C16" s="13" t="s">
        <v>5</v>
      </c>
      <c r="E16" t="str">
        <f t="shared" si="0"/>
        <v/>
      </c>
      <c r="H16" s="6"/>
      <c r="I16" s="4" t="str">
        <f>IFERROR(INDEX(#REF!,MATCH(F16,#REF!,0)),"")</f>
        <v/>
      </c>
      <c r="K16" s="24" t="s">
        <v>39</v>
      </c>
      <c r="L16" s="24" t="s">
        <v>78</v>
      </c>
      <c r="M16" s="24" t="s">
        <v>79</v>
      </c>
      <c r="N16" s="24" t="s">
        <v>9</v>
      </c>
    </row>
    <row r="17" spans="1:14" x14ac:dyDescent="0.25">
      <c r="A17" s="13" t="s">
        <v>24</v>
      </c>
      <c r="B17" s="18">
        <v>100</v>
      </c>
      <c r="C17" s="7" t="s">
        <v>44</v>
      </c>
      <c r="E17" t="str">
        <f t="shared" si="0"/>
        <v/>
      </c>
      <c r="H17" s="6"/>
      <c r="I17" s="4" t="str">
        <f>IFERROR(INDEX(#REF!,MATCH(F17,#REF!,0)),"")</f>
        <v/>
      </c>
      <c r="K17" t="s">
        <v>80</v>
      </c>
      <c r="L17" t="s">
        <v>81</v>
      </c>
      <c r="M17" t="s">
        <v>82</v>
      </c>
      <c r="N17" t="s">
        <v>83</v>
      </c>
    </row>
    <row r="18" spans="1:14" x14ac:dyDescent="0.25">
      <c r="A18" s="13" t="s">
        <v>25</v>
      </c>
      <c r="B18" s="18">
        <v>6</v>
      </c>
      <c r="C18" s="7" t="s">
        <v>26</v>
      </c>
      <c r="E18" t="str">
        <f t="shared" si="0"/>
        <v/>
      </c>
      <c r="H18" s="6"/>
      <c r="I18" s="4" t="str">
        <f>IFERROR(INDEX(#REF!,MATCH(F18,#REF!,0)),"")</f>
        <v/>
      </c>
      <c r="K18" t="s">
        <v>84</v>
      </c>
      <c r="L18" t="s">
        <v>81</v>
      </c>
      <c r="M18" t="s">
        <v>85</v>
      </c>
      <c r="N18" t="s">
        <v>86</v>
      </c>
    </row>
    <row r="19" spans="1:14" x14ac:dyDescent="0.25">
      <c r="A19" s="13" t="s">
        <v>34</v>
      </c>
      <c r="B19" s="19">
        <v>1</v>
      </c>
      <c r="C19" s="7" t="s">
        <v>26</v>
      </c>
      <c r="E19" t="str">
        <f t="shared" si="0"/>
        <v/>
      </c>
      <c r="H19" s="6"/>
      <c r="I19" s="4" t="str">
        <f>IFERROR(INDEX(#REF!,MATCH(F19,#REF!,0)),"")</f>
        <v/>
      </c>
      <c r="K19" t="s">
        <v>87</v>
      </c>
      <c r="L19" t="s">
        <v>88</v>
      </c>
      <c r="M19" t="s">
        <v>82</v>
      </c>
      <c r="N19" t="s">
        <v>89</v>
      </c>
    </row>
    <row r="20" spans="1:14" x14ac:dyDescent="0.25">
      <c r="A20" s="13" t="s">
        <v>31</v>
      </c>
      <c r="B20" s="8">
        <f ca="1">B13</f>
        <v>0</v>
      </c>
      <c r="C20" s="7" t="s">
        <v>43</v>
      </c>
      <c r="E20" t="str">
        <f t="shared" si="0"/>
        <v/>
      </c>
      <c r="H20" s="6"/>
      <c r="I20" s="4" t="str">
        <f>IFERROR(INDEX(#REF!,MATCH(F20,#REF!,0)),"")</f>
        <v/>
      </c>
      <c r="K20" t="s">
        <v>90</v>
      </c>
      <c r="L20" t="s">
        <v>91</v>
      </c>
      <c r="M20" t="s">
        <v>92</v>
      </c>
      <c r="N20" t="s">
        <v>93</v>
      </c>
    </row>
    <row r="21" spans="1:14" x14ac:dyDescent="0.25">
      <c r="A21" s="13" t="s">
        <v>27</v>
      </c>
      <c r="B21" s="8">
        <f ca="1">IFERROR(ROUND(B20*B17/60,2),0)</f>
        <v>0</v>
      </c>
      <c r="C21" s="7" t="s">
        <v>45</v>
      </c>
      <c r="E21" t="str">
        <f t="shared" si="0"/>
        <v/>
      </c>
      <c r="H21" s="6"/>
      <c r="I21" s="4" t="str">
        <f>IFERROR(INDEX(#REF!,MATCH(F21,#REF!,0)),"")</f>
        <v/>
      </c>
      <c r="K21" t="s">
        <v>94</v>
      </c>
      <c r="L21" t="s">
        <v>91</v>
      </c>
      <c r="M21" t="s">
        <v>85</v>
      </c>
      <c r="N21" t="s">
        <v>95</v>
      </c>
    </row>
    <row r="22" spans="1:14" x14ac:dyDescent="0.25">
      <c r="A22" s="13" t="s">
        <v>37</v>
      </c>
      <c r="B22" s="8">
        <f ca="1">IFERROR(ROUND(B21*B18,0),0)</f>
        <v>0</v>
      </c>
      <c r="C22" s="7" t="s">
        <v>46</v>
      </c>
      <c r="E22" t="str">
        <f t="shared" si="0"/>
        <v/>
      </c>
      <c r="H22" s="6"/>
      <c r="I22" s="4" t="str">
        <f>IFERROR(INDEX(#REF!,MATCH(F22,#REF!,0)),"")</f>
        <v/>
      </c>
      <c r="K22" t="s">
        <v>96</v>
      </c>
      <c r="L22" t="s">
        <v>97</v>
      </c>
      <c r="M22" t="s">
        <v>92</v>
      </c>
      <c r="N22" t="s">
        <v>98</v>
      </c>
    </row>
    <row r="23" spans="1:14" x14ac:dyDescent="0.25">
      <c r="A23" s="20" t="s">
        <v>38</v>
      </c>
      <c r="B23" s="17">
        <f ca="1">IFERROR(ROUND(B22*(B19/B18),0),0)</f>
        <v>0</v>
      </c>
      <c r="C23" s="10" t="s">
        <v>33</v>
      </c>
      <c r="E23" t="str">
        <f t="shared" si="0"/>
        <v/>
      </c>
      <c r="H23" s="6"/>
      <c r="I23" s="4" t="str">
        <f>IFERROR(INDEX(#REF!,MATCH(F23,#REF!,0)),"")</f>
        <v/>
      </c>
    </row>
    <row r="24" spans="1:14" x14ac:dyDescent="0.25">
      <c r="E24" t="str">
        <f t="shared" si="0"/>
        <v/>
      </c>
      <c r="H24" s="6"/>
      <c r="I24" s="4" t="str">
        <f>IFERROR(INDEX(#REF!,MATCH(F24,#REF!,0)),"")</f>
        <v/>
      </c>
      <c r="K24" s="143" t="s">
        <v>99</v>
      </c>
      <c r="L24" s="111"/>
      <c r="M24" s="111"/>
      <c r="N24" s="111"/>
    </row>
    <row r="25" spans="1:14" x14ac:dyDescent="0.25">
      <c r="A25" s="132" t="s">
        <v>28</v>
      </c>
      <c r="B25" s="141"/>
      <c r="C25" s="141"/>
      <c r="E25" t="str">
        <f t="shared" si="0"/>
        <v/>
      </c>
      <c r="H25" s="6"/>
      <c r="I25" s="4" t="str">
        <f>IFERROR(INDEX(#REF!,MATCH(F25,#REF!,0)),"")</f>
        <v/>
      </c>
      <c r="K25" s="144" t="s">
        <v>100</v>
      </c>
      <c r="L25" s="111"/>
      <c r="M25" s="111"/>
      <c r="N25" s="111"/>
    </row>
    <row r="26" spans="1:14" x14ac:dyDescent="0.25">
      <c r="A26" s="13" t="s">
        <v>8</v>
      </c>
      <c r="B26" s="13" t="s">
        <v>23</v>
      </c>
      <c r="C26" s="13" t="s">
        <v>5</v>
      </c>
      <c r="E26" t="str">
        <f t="shared" si="0"/>
        <v/>
      </c>
      <c r="H26" s="6"/>
      <c r="I26" s="4" t="str">
        <f>IFERROR(INDEX(#REF!,MATCH(F26,#REF!,0)),"")</f>
        <v/>
      </c>
      <c r="K26" s="144"/>
      <c r="L26" s="111"/>
      <c r="M26" s="111"/>
      <c r="N26" s="111"/>
    </row>
    <row r="27" spans="1:14" x14ac:dyDescent="0.25">
      <c r="A27" s="7" t="s">
        <v>29</v>
      </c>
      <c r="B27" s="8" t="e">
        <f ca="1">B9</f>
        <v>#REF!</v>
      </c>
      <c r="C27" s="7" t="s">
        <v>33</v>
      </c>
      <c r="E27" t="str">
        <f t="shared" si="0"/>
        <v/>
      </c>
      <c r="H27" s="6"/>
      <c r="I27" s="4" t="str">
        <f>IFERROR(INDEX(#REF!,MATCH(F27,#REF!,0)),"")</f>
        <v/>
      </c>
      <c r="K27" s="144"/>
      <c r="L27" s="111"/>
      <c r="M27" s="111"/>
      <c r="N27" s="111"/>
    </row>
    <row r="28" spans="1:14" x14ac:dyDescent="0.25">
      <c r="A28" s="7" t="s">
        <v>35</v>
      </c>
      <c r="B28" s="8">
        <f ca="1">B23</f>
        <v>0</v>
      </c>
      <c r="C28" s="7" t="s">
        <v>33</v>
      </c>
      <c r="E28" t="str">
        <f t="shared" si="0"/>
        <v/>
      </c>
      <c r="H28" s="6"/>
      <c r="I28" s="4" t="str">
        <f>IFERROR(INDEX(#REF!,MATCH(F28,#REF!,0)),"")</f>
        <v/>
      </c>
      <c r="K28" s="144"/>
      <c r="L28" s="111"/>
      <c r="M28" s="111"/>
      <c r="N28" s="111"/>
    </row>
    <row r="29" spans="1:14" x14ac:dyDescent="0.25">
      <c r="A29" s="7" t="s">
        <v>32</v>
      </c>
      <c r="B29" s="8" t="e">
        <f ca="1">B27-B28</f>
        <v>#REF!</v>
      </c>
      <c r="C29" s="7" t="s">
        <v>33</v>
      </c>
      <c r="E29" t="str">
        <f t="shared" si="0"/>
        <v/>
      </c>
      <c r="H29" s="6"/>
      <c r="I29" s="4" t="str">
        <f>IFERROR(INDEX(#REF!,MATCH(F29,#REF!,0)),"")</f>
        <v/>
      </c>
      <c r="K29" s="144"/>
      <c r="L29" s="111"/>
      <c r="M29" s="111"/>
      <c r="N29" s="111"/>
    </row>
    <row r="30" spans="1:14" x14ac:dyDescent="0.25">
      <c r="A30" s="7" t="s">
        <v>14</v>
      </c>
      <c r="B30" s="8">
        <f ca="1">B8</f>
        <v>0</v>
      </c>
      <c r="C30" s="7" t="s">
        <v>30</v>
      </c>
      <c r="E30" t="str">
        <f t="shared" si="0"/>
        <v/>
      </c>
      <c r="H30" s="6"/>
      <c r="I30" s="4" t="str">
        <f>IFERROR(INDEX(#REF!,MATCH(F30,#REF!,0)),"")</f>
        <v/>
      </c>
    </row>
    <row r="31" spans="1:14" ht="18.75" x14ac:dyDescent="0.3">
      <c r="A31" s="9" t="s">
        <v>36</v>
      </c>
      <c r="B31" s="21">
        <f ca="1">IFERROR(ROUND(MIN(B27,B28)/MAX(B27,B28)*100,2),0)</f>
        <v>0</v>
      </c>
      <c r="C31" s="9" t="s">
        <v>30</v>
      </c>
      <c r="E31" t="str">
        <f t="shared" si="0"/>
        <v/>
      </c>
      <c r="H31" s="6"/>
      <c r="I31" s="4" t="str">
        <f>IFERROR(INDEX(#REF!,MATCH(F31,#REF!,0)),"")</f>
        <v/>
      </c>
    </row>
    <row r="32" spans="1:14" x14ac:dyDescent="0.25">
      <c r="E32" t="str">
        <f t="shared" si="0"/>
        <v/>
      </c>
      <c r="H32" s="6"/>
      <c r="I32" s="4" t="str">
        <f>IFERROR(INDEX(#REF!,MATCH(F32,#REF!,0)),"")</f>
        <v/>
      </c>
    </row>
    <row r="33" spans="5:9" x14ac:dyDescent="0.25">
      <c r="E33" t="str">
        <f t="shared" si="0"/>
        <v/>
      </c>
      <c r="H33" s="6"/>
      <c r="I33" s="4" t="str">
        <f>IFERROR(INDEX(#REF!,MATCH(F53,#REF!,0)),"")</f>
        <v/>
      </c>
    </row>
    <row r="34" spans="5:9" x14ac:dyDescent="0.25">
      <c r="E34" t="str">
        <f t="shared" si="0"/>
        <v/>
      </c>
      <c r="H34" s="6"/>
      <c r="I34" s="4" t="str">
        <f>IFERROR(INDEX(#REF!,MATCH(F54,#REF!,0)),"")</f>
        <v/>
      </c>
    </row>
    <row r="35" spans="5:9" x14ac:dyDescent="0.25">
      <c r="E35" t="str">
        <f t="shared" si="0"/>
        <v/>
      </c>
      <c r="H35" s="6"/>
      <c r="I35" s="4" t="str">
        <f>IFERROR(INDEX(#REF!,MATCH(F55,#REF!,0)),"")</f>
        <v/>
      </c>
    </row>
    <row r="36" spans="5:9" x14ac:dyDescent="0.25">
      <c r="E36" t="str">
        <f t="shared" si="0"/>
        <v/>
      </c>
      <c r="H36" s="6"/>
      <c r="I36" s="4" t="str">
        <f>IFERROR(INDEX(#REF!,MATCH(F56,#REF!,0)),"")</f>
        <v/>
      </c>
    </row>
    <row r="37" spans="5:9" x14ac:dyDescent="0.25">
      <c r="E37" t="str">
        <f t="shared" si="0"/>
        <v/>
      </c>
      <c r="H37" s="6"/>
      <c r="I37" s="4" t="str">
        <f>IFERROR(INDEX(#REF!,MATCH(F57,#REF!,0)),"")</f>
        <v/>
      </c>
    </row>
    <row r="38" spans="5:9" x14ac:dyDescent="0.25">
      <c r="E38" t="str">
        <f t="shared" si="0"/>
        <v/>
      </c>
      <c r="H38" s="6"/>
      <c r="I38" s="4" t="str">
        <f>IFERROR(INDEX(#REF!,MATCH(F58,#REF!,0)),"")</f>
        <v/>
      </c>
    </row>
    <row r="39" spans="5:9" x14ac:dyDescent="0.25">
      <c r="E39" t="str">
        <f t="shared" si="0"/>
        <v/>
      </c>
      <c r="H39" s="6"/>
    </row>
    <row r="40" spans="5:9" x14ac:dyDescent="0.25">
      <c r="E40" t="str">
        <f t="shared" si="0"/>
        <v/>
      </c>
      <c r="H40" s="6"/>
    </row>
    <row r="41" spans="5:9" x14ac:dyDescent="0.25">
      <c r="E41" t="str">
        <f t="shared" si="0"/>
        <v/>
      </c>
      <c r="H41" s="6"/>
    </row>
    <row r="42" spans="5:9" x14ac:dyDescent="0.25">
      <c r="E42" t="str">
        <f t="shared" si="0"/>
        <v/>
      </c>
      <c r="H42" s="6"/>
    </row>
    <row r="43" spans="5:9" x14ac:dyDescent="0.25">
      <c r="E43" t="str">
        <f t="shared" si="0"/>
        <v/>
      </c>
      <c r="H43" s="6"/>
    </row>
    <row r="44" spans="5:9" x14ac:dyDescent="0.25">
      <c r="E44" t="str">
        <f t="shared" si="0"/>
        <v/>
      </c>
      <c r="H44" s="6"/>
    </row>
    <row r="45" spans="5:9" x14ac:dyDescent="0.25">
      <c r="E45" t="str">
        <f t="shared" si="0"/>
        <v/>
      </c>
      <c r="H45" s="6"/>
    </row>
    <row r="46" spans="5:9" x14ac:dyDescent="0.25">
      <c r="E46" t="str">
        <f t="shared" si="0"/>
        <v/>
      </c>
      <c r="H46" s="6"/>
    </row>
    <row r="47" spans="5:9" x14ac:dyDescent="0.25">
      <c r="E47" t="str">
        <f t="shared" si="0"/>
        <v/>
      </c>
      <c r="H47" s="6"/>
    </row>
    <row r="48" spans="5:9" x14ac:dyDescent="0.25">
      <c r="E48" t="str">
        <f t="shared" si="0"/>
        <v/>
      </c>
      <c r="H48" s="6"/>
    </row>
    <row r="49" spans="1:8" x14ac:dyDescent="0.25">
      <c r="E49" t="str">
        <f t="shared" si="0"/>
        <v/>
      </c>
      <c r="H49" s="6"/>
    </row>
    <row r="50" spans="1:8" x14ac:dyDescent="0.25">
      <c r="E50" t="str">
        <f t="shared" si="0"/>
        <v/>
      </c>
      <c r="H50" s="6"/>
    </row>
    <row r="51" spans="1:8" x14ac:dyDescent="0.25">
      <c r="E51" t="str">
        <f t="shared" si="0"/>
        <v/>
      </c>
      <c r="H51" s="6"/>
    </row>
    <row r="52" spans="1:8" x14ac:dyDescent="0.25">
      <c r="E52" t="str">
        <f t="shared" si="0"/>
        <v/>
      </c>
      <c r="H52" s="6"/>
    </row>
    <row r="53" spans="1:8" x14ac:dyDescent="0.25">
      <c r="A53" s="132" t="s">
        <v>62</v>
      </c>
      <c r="B53" s="111"/>
      <c r="C53" s="111"/>
      <c r="D53" s="111"/>
      <c r="E53" s="111"/>
      <c r="F53" s="111"/>
      <c r="H53" s="6"/>
    </row>
    <row r="54" spans="1:8" x14ac:dyDescent="0.25">
      <c r="A54" s="3" t="s">
        <v>8</v>
      </c>
      <c r="B54" s="3" t="s">
        <v>63</v>
      </c>
      <c r="C54" s="3" t="s">
        <v>64</v>
      </c>
      <c r="D54" s="3" t="s">
        <v>65</v>
      </c>
      <c r="E54" s="3" t="s">
        <v>5</v>
      </c>
      <c r="H54" s="6"/>
    </row>
    <row r="55" spans="1:8" x14ac:dyDescent="0.25">
      <c r="A55" s="13" t="s">
        <v>67</v>
      </c>
      <c r="B55" s="8">
        <f ca="1">IFERROR(ROUND(B12*$L$10*1000000,2),0)</f>
        <v>0</v>
      </c>
      <c r="C55" s="7">
        <f ca="1">ROUND(B55/1000,4)</f>
        <v>0</v>
      </c>
      <c r="D55">
        <f ca="1">ROUND(C55/1000,6)</f>
        <v>0</v>
      </c>
      <c r="E55" t="s">
        <v>101</v>
      </c>
      <c r="H55" s="6"/>
    </row>
    <row r="56" spans="1:8" x14ac:dyDescent="0.25">
      <c r="A56" s="13" t="s">
        <v>68</v>
      </c>
      <c r="B56" s="8">
        <f ca="1">IFERROR(ROUND((B7/B10)*$L$10*1000000,2),0)</f>
        <v>0</v>
      </c>
      <c r="C56" s="7">
        <f ca="1">ROUND(B56/1000,4)</f>
        <v>0</v>
      </c>
      <c r="D56">
        <f ca="1">ROUND(C56/1000,6)</f>
        <v>0</v>
      </c>
      <c r="E56" t="s">
        <v>102</v>
      </c>
      <c r="H56" s="6"/>
    </row>
    <row r="57" spans="1:8" x14ac:dyDescent="0.25">
      <c r="A57" s="7" t="s">
        <v>47</v>
      </c>
      <c r="B57" s="8">
        <f ca="1">ROUND(B55+B56,2)</f>
        <v>0</v>
      </c>
      <c r="C57" s="7">
        <f ca="1">ROUND(C55+C56,4)</f>
        <v>0</v>
      </c>
      <c r="D57">
        <f ca="1">ROUND(D55+D56,6)</f>
        <v>0</v>
      </c>
      <c r="E57" t="s">
        <v>103</v>
      </c>
      <c r="H57" s="6"/>
    </row>
    <row r="58" spans="1:8" x14ac:dyDescent="0.25">
      <c r="A58" s="7" t="s">
        <v>48</v>
      </c>
      <c r="B58" s="8">
        <f ca="1">ROUND($L$10*1000000,2)</f>
        <v>0</v>
      </c>
      <c r="C58" s="7">
        <f ca="1">ROUND(B58/1000,4)</f>
        <v>0</v>
      </c>
      <c r="D58">
        <f ca="1">ROUND(C58/1000,6)</f>
        <v>0</v>
      </c>
      <c r="E58" s="23" t="s">
        <v>70</v>
      </c>
      <c r="H58" s="6"/>
    </row>
    <row r="59" spans="1:8" x14ac:dyDescent="0.25">
      <c r="A59" s="7" t="s">
        <v>49</v>
      </c>
      <c r="B59" s="8">
        <f ca="1">IFERROR(ROUND(B55*2,2),0)</f>
        <v>0</v>
      </c>
      <c r="C59" s="7">
        <f ca="1">ROUND(B59/1000,4)</f>
        <v>0</v>
      </c>
      <c r="D59">
        <f ca="1">ROUND(C59/1000,6)</f>
        <v>0</v>
      </c>
      <c r="E59" s="23" t="s">
        <v>71</v>
      </c>
      <c r="H59" s="6"/>
    </row>
    <row r="60" spans="1:8" x14ac:dyDescent="0.25">
      <c r="A60" s="7" t="s">
        <v>50</v>
      </c>
      <c r="B60" s="8">
        <f ca="1">ROUND($L$10*1000000,2)</f>
        <v>0</v>
      </c>
      <c r="C60" s="7">
        <f ca="1">ROUND(B60/1000,4)</f>
        <v>0</v>
      </c>
      <c r="D60">
        <f ca="1">ROUND(C60/1000,6)</f>
        <v>0</v>
      </c>
      <c r="E60" s="23" t="s">
        <v>70</v>
      </c>
      <c r="H60" s="6"/>
    </row>
    <row r="61" spans="1:8" x14ac:dyDescent="0.25">
      <c r="A61" s="7" t="s">
        <v>51</v>
      </c>
      <c r="B61" s="8">
        <f ca="1">IFERROR(ROUND(B56*2,2),0)</f>
        <v>0</v>
      </c>
      <c r="C61" s="7">
        <f ca="1">ROUND(B61/1000,4)</f>
        <v>0</v>
      </c>
      <c r="D61">
        <f ca="1">ROUND(C61/1000,6)</f>
        <v>0</v>
      </c>
      <c r="E61" s="23" t="s">
        <v>72</v>
      </c>
      <c r="H61" s="6"/>
    </row>
    <row r="62" spans="1:8" x14ac:dyDescent="0.25">
      <c r="A62" s="7" t="s">
        <v>52</v>
      </c>
      <c r="B62" s="8">
        <f ca="1">IFERROR(ROUND(ABS(B55-B56)/2,2),0)</f>
        <v>0</v>
      </c>
      <c r="C62" s="7">
        <f ca="1">ROUND(B62/1000,4)</f>
        <v>0</v>
      </c>
      <c r="D62">
        <f ca="1">ROUND(C62/1000,6)</f>
        <v>0</v>
      </c>
      <c r="E62" s="23" t="s">
        <v>73</v>
      </c>
      <c r="H62" s="6"/>
    </row>
    <row r="63" spans="1:8" x14ac:dyDescent="0.25">
      <c r="A63" s="7" t="s">
        <v>69</v>
      </c>
      <c r="B63" s="8">
        <f ca="1">IFERROR(ROUND(1000000/B57,2),0)</f>
        <v>0</v>
      </c>
      <c r="C63" s="7">
        <f ca="1">IFERROR(ROUND(1000/C57,2),0)</f>
        <v>0</v>
      </c>
      <c r="D63">
        <f ca="1">IFERROR(ROUND(1/D57,2),0)</f>
        <v>0</v>
      </c>
      <c r="E63" s="23" t="s">
        <v>74</v>
      </c>
      <c r="H63" s="6"/>
    </row>
    <row r="64" spans="1:8" x14ac:dyDescent="0.25">
      <c r="E64" t="str">
        <f t="shared" si="0"/>
        <v/>
      </c>
      <c r="H64" s="6"/>
    </row>
    <row r="65" spans="5:8" x14ac:dyDescent="0.25">
      <c r="E65" t="str">
        <f t="shared" si="0"/>
        <v/>
      </c>
      <c r="H65" s="6"/>
    </row>
    <row r="66" spans="5:8" x14ac:dyDescent="0.25">
      <c r="E66" t="str">
        <f t="shared" si="0"/>
        <v/>
      </c>
      <c r="H66" s="6"/>
    </row>
    <row r="67" spans="5:8" x14ac:dyDescent="0.25">
      <c r="E67" t="str">
        <f t="shared" si="0"/>
        <v/>
      </c>
      <c r="H67" s="6"/>
    </row>
    <row r="68" spans="5:8" x14ac:dyDescent="0.25">
      <c r="E68" t="str">
        <f t="shared" si="0"/>
        <v/>
      </c>
      <c r="H68" s="6"/>
    </row>
    <row r="69" spans="5:8" x14ac:dyDescent="0.25">
      <c r="E69" t="str">
        <f t="shared" ref="E69:E104" si="1">IF(F69&lt;&gt;"",ROW()-4,"")</f>
        <v/>
      </c>
      <c r="H69" s="6"/>
    </row>
    <row r="70" spans="5:8" x14ac:dyDescent="0.25">
      <c r="E70" t="str">
        <f t="shared" si="1"/>
        <v/>
      </c>
      <c r="H70" s="6"/>
    </row>
    <row r="71" spans="5:8" x14ac:dyDescent="0.25">
      <c r="E71" t="str">
        <f t="shared" si="1"/>
        <v/>
      </c>
      <c r="H71" s="6"/>
    </row>
    <row r="72" spans="5:8" x14ac:dyDescent="0.25">
      <c r="E72" t="str">
        <f t="shared" si="1"/>
        <v/>
      </c>
      <c r="H72" s="6"/>
    </row>
    <row r="73" spans="5:8" x14ac:dyDescent="0.25">
      <c r="E73" t="str">
        <f t="shared" si="1"/>
        <v/>
      </c>
      <c r="H73" s="6"/>
    </row>
    <row r="74" spans="5:8" x14ac:dyDescent="0.25">
      <c r="E74" t="str">
        <f t="shared" si="1"/>
        <v/>
      </c>
      <c r="H74" s="6"/>
    </row>
    <row r="75" spans="5:8" x14ac:dyDescent="0.25">
      <c r="E75" t="str">
        <f t="shared" si="1"/>
        <v/>
      </c>
      <c r="H75" s="6"/>
    </row>
    <row r="76" spans="5:8" x14ac:dyDescent="0.25">
      <c r="E76" t="str">
        <f t="shared" si="1"/>
        <v/>
      </c>
      <c r="H76" s="6"/>
    </row>
    <row r="77" spans="5:8" x14ac:dyDescent="0.25">
      <c r="E77" t="str">
        <f t="shared" si="1"/>
        <v/>
      </c>
      <c r="H77" s="6"/>
    </row>
    <row r="78" spans="5:8" x14ac:dyDescent="0.25">
      <c r="E78" t="str">
        <f t="shared" si="1"/>
        <v/>
      </c>
      <c r="H78" s="6"/>
    </row>
    <row r="79" spans="5:8" x14ac:dyDescent="0.25">
      <c r="E79" t="str">
        <f t="shared" si="1"/>
        <v/>
      </c>
      <c r="H79" s="6"/>
    </row>
    <row r="80" spans="5:8" x14ac:dyDescent="0.25">
      <c r="E80" t="str">
        <f t="shared" si="1"/>
        <v/>
      </c>
      <c r="H80" s="6"/>
    </row>
    <row r="81" spans="5:8" x14ac:dyDescent="0.25">
      <c r="E81" t="str">
        <f t="shared" si="1"/>
        <v/>
      </c>
      <c r="H81" s="6"/>
    </row>
    <row r="82" spans="5:8" x14ac:dyDescent="0.25">
      <c r="E82" t="str">
        <f t="shared" si="1"/>
        <v/>
      </c>
      <c r="H82" s="6"/>
    </row>
    <row r="83" spans="5:8" x14ac:dyDescent="0.25">
      <c r="E83" t="str">
        <f t="shared" si="1"/>
        <v/>
      </c>
      <c r="H83" s="6"/>
    </row>
    <row r="84" spans="5:8" x14ac:dyDescent="0.25">
      <c r="E84" t="str">
        <f t="shared" si="1"/>
        <v/>
      </c>
      <c r="H84" s="6"/>
    </row>
    <row r="85" spans="5:8" x14ac:dyDescent="0.25">
      <c r="E85" t="str">
        <f t="shared" si="1"/>
        <v/>
      </c>
      <c r="H85" s="6"/>
    </row>
    <row r="86" spans="5:8" x14ac:dyDescent="0.25">
      <c r="E86" t="str">
        <f t="shared" si="1"/>
        <v/>
      </c>
      <c r="H86" s="6"/>
    </row>
    <row r="87" spans="5:8" x14ac:dyDescent="0.25">
      <c r="E87" t="str">
        <f t="shared" si="1"/>
        <v/>
      </c>
      <c r="H87" s="6"/>
    </row>
    <row r="88" spans="5:8" x14ac:dyDescent="0.25">
      <c r="E88" t="str">
        <f t="shared" si="1"/>
        <v/>
      </c>
      <c r="H88" s="6"/>
    </row>
    <row r="89" spans="5:8" x14ac:dyDescent="0.25">
      <c r="E89" t="str">
        <f t="shared" si="1"/>
        <v/>
      </c>
      <c r="H89" s="6"/>
    </row>
    <row r="90" spans="5:8" x14ac:dyDescent="0.25">
      <c r="E90" t="str">
        <f t="shared" si="1"/>
        <v/>
      </c>
      <c r="H90" s="6"/>
    </row>
    <row r="91" spans="5:8" x14ac:dyDescent="0.25">
      <c r="E91" t="str">
        <f t="shared" si="1"/>
        <v/>
      </c>
      <c r="H91" s="6"/>
    </row>
    <row r="92" spans="5:8" x14ac:dyDescent="0.25">
      <c r="E92" t="str">
        <f t="shared" si="1"/>
        <v/>
      </c>
      <c r="H92" s="6"/>
    </row>
    <row r="93" spans="5:8" x14ac:dyDescent="0.25">
      <c r="E93" t="str">
        <f t="shared" si="1"/>
        <v/>
      </c>
      <c r="H93" s="6"/>
    </row>
    <row r="94" spans="5:8" x14ac:dyDescent="0.25">
      <c r="E94" t="str">
        <f t="shared" si="1"/>
        <v/>
      </c>
      <c r="H94" s="6"/>
    </row>
    <row r="95" spans="5:8" x14ac:dyDescent="0.25">
      <c r="E95" t="str">
        <f t="shared" si="1"/>
        <v/>
      </c>
      <c r="H95" s="6"/>
    </row>
    <row r="96" spans="5:8" x14ac:dyDescent="0.25">
      <c r="E96" t="str">
        <f t="shared" si="1"/>
        <v/>
      </c>
      <c r="H96" s="6"/>
    </row>
    <row r="97" spans="5:8" x14ac:dyDescent="0.25">
      <c r="E97" t="str">
        <f t="shared" si="1"/>
        <v/>
      </c>
      <c r="H97" s="6"/>
    </row>
    <row r="98" spans="5:8" x14ac:dyDescent="0.25">
      <c r="E98" t="str">
        <f t="shared" si="1"/>
        <v/>
      </c>
      <c r="H98" s="6"/>
    </row>
    <row r="99" spans="5:8" x14ac:dyDescent="0.25">
      <c r="E99" t="str">
        <f t="shared" si="1"/>
        <v/>
      </c>
      <c r="H99" s="6"/>
    </row>
    <row r="100" spans="5:8" x14ac:dyDescent="0.25">
      <c r="E100" t="str">
        <f t="shared" si="1"/>
        <v/>
      </c>
      <c r="H100" s="6"/>
    </row>
    <row r="101" spans="5:8" x14ac:dyDescent="0.25">
      <c r="E101" t="str">
        <f t="shared" si="1"/>
        <v/>
      </c>
      <c r="H101" s="6"/>
    </row>
    <row r="102" spans="5:8" x14ac:dyDescent="0.25">
      <c r="E102" t="str">
        <f t="shared" si="1"/>
        <v/>
      </c>
      <c r="H102" s="6"/>
    </row>
    <row r="103" spans="5:8" x14ac:dyDescent="0.25">
      <c r="E103" t="str">
        <f t="shared" si="1"/>
        <v/>
      </c>
      <c r="H103" s="6"/>
    </row>
    <row r="104" spans="5:8" x14ac:dyDescent="0.25">
      <c r="E104" t="str">
        <f t="shared" si="1"/>
        <v/>
      </c>
      <c r="H104" s="6"/>
    </row>
    <row r="105" spans="5:8" x14ac:dyDescent="0.25">
      <c r="E105" t="str">
        <f>IF(F105&lt;&gt;"",E104+1,"")</f>
        <v/>
      </c>
      <c r="H105" s="6"/>
    </row>
    <row r="106" spans="5:8" x14ac:dyDescent="0.25">
      <c r="H106" s="6"/>
    </row>
    <row r="107" spans="5:8" x14ac:dyDescent="0.25">
      <c r="H107" s="6"/>
    </row>
    <row r="108" spans="5:8" x14ac:dyDescent="0.25">
      <c r="H108" s="6"/>
    </row>
    <row r="109" spans="5:8" x14ac:dyDescent="0.25">
      <c r="H109" s="6"/>
    </row>
    <row r="110" spans="5:8" x14ac:dyDescent="0.25">
      <c r="H110" s="6"/>
    </row>
    <row r="111" spans="5:8" x14ac:dyDescent="0.25">
      <c r="H111" s="6"/>
    </row>
    <row r="112" spans="5:8" x14ac:dyDescent="0.25">
      <c r="H112" s="6"/>
    </row>
    <row r="113" spans="8:8" x14ac:dyDescent="0.25">
      <c r="H113" s="6"/>
    </row>
    <row r="114" spans="8:8" x14ac:dyDescent="0.25">
      <c r="H114" s="6"/>
    </row>
    <row r="115" spans="8:8" x14ac:dyDescent="0.25">
      <c r="H115" s="6"/>
    </row>
    <row r="116" spans="8:8" x14ac:dyDescent="0.25">
      <c r="H116" s="6"/>
    </row>
    <row r="117" spans="8:8" x14ac:dyDescent="0.25">
      <c r="H117" s="6"/>
    </row>
    <row r="118" spans="8:8" x14ac:dyDescent="0.25">
      <c r="H118" s="6"/>
    </row>
    <row r="119" spans="8:8" x14ac:dyDescent="0.25">
      <c r="H119" s="6"/>
    </row>
    <row r="120" spans="8:8" x14ac:dyDescent="0.25">
      <c r="H120" s="6"/>
    </row>
    <row r="121" spans="8:8" x14ac:dyDescent="0.25">
      <c r="H121" s="6"/>
    </row>
    <row r="122" spans="8:8" x14ac:dyDescent="0.25">
      <c r="H122" s="6"/>
    </row>
    <row r="123" spans="8:8" x14ac:dyDescent="0.25">
      <c r="H123" s="6"/>
    </row>
    <row r="124" spans="8:8" x14ac:dyDescent="0.25">
      <c r="H124" s="6"/>
    </row>
    <row r="125" spans="8:8" x14ac:dyDescent="0.25">
      <c r="H125" s="6"/>
    </row>
    <row r="126" spans="8:8" x14ac:dyDescent="0.25">
      <c r="H126" s="6"/>
    </row>
    <row r="127" spans="8:8" x14ac:dyDescent="0.25">
      <c r="H127" s="6"/>
    </row>
    <row r="128" spans="8:8" x14ac:dyDescent="0.25">
      <c r="H128" s="6"/>
    </row>
    <row r="129" spans="8:8" x14ac:dyDescent="0.25">
      <c r="H129" s="6"/>
    </row>
    <row r="130" spans="8:8" x14ac:dyDescent="0.25">
      <c r="H130" s="6"/>
    </row>
    <row r="131" spans="8:8" x14ac:dyDescent="0.25">
      <c r="H131" s="6"/>
    </row>
    <row r="132" spans="8:8" x14ac:dyDescent="0.25">
      <c r="H132" s="6"/>
    </row>
    <row r="133" spans="8:8" x14ac:dyDescent="0.25">
      <c r="H133" s="6"/>
    </row>
    <row r="134" spans="8:8" x14ac:dyDescent="0.25">
      <c r="H134" s="6"/>
    </row>
    <row r="135" spans="8:8" x14ac:dyDescent="0.25">
      <c r="H135" s="6"/>
    </row>
    <row r="136" spans="8:8" x14ac:dyDescent="0.25">
      <c r="H136" s="6"/>
    </row>
    <row r="137" spans="8:8" x14ac:dyDescent="0.25">
      <c r="H137" s="6"/>
    </row>
    <row r="138" spans="8:8" x14ac:dyDescent="0.25">
      <c r="H138" s="6"/>
    </row>
    <row r="139" spans="8:8" x14ac:dyDescent="0.25">
      <c r="H139" s="6"/>
    </row>
    <row r="140" spans="8:8" x14ac:dyDescent="0.25">
      <c r="H140" s="6"/>
    </row>
    <row r="141" spans="8:8" x14ac:dyDescent="0.25">
      <c r="H141" s="6"/>
    </row>
    <row r="142" spans="8:8" x14ac:dyDescent="0.25">
      <c r="H142" s="6"/>
    </row>
    <row r="143" spans="8:8" x14ac:dyDescent="0.25">
      <c r="H143" s="6"/>
    </row>
    <row r="144" spans="8:8" x14ac:dyDescent="0.25">
      <c r="H144" s="6"/>
    </row>
    <row r="145" spans="8:8" x14ac:dyDescent="0.25">
      <c r="H145" s="6"/>
    </row>
    <row r="146" spans="8:8" x14ac:dyDescent="0.25">
      <c r="H146" s="6"/>
    </row>
    <row r="147" spans="8:8" x14ac:dyDescent="0.25">
      <c r="H147" s="6"/>
    </row>
    <row r="148" spans="8:8" x14ac:dyDescent="0.25">
      <c r="H148" s="6"/>
    </row>
    <row r="149" spans="8:8" x14ac:dyDescent="0.25">
      <c r="H149" s="6"/>
    </row>
    <row r="150" spans="8:8" x14ac:dyDescent="0.25">
      <c r="H150" s="6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</sheetData>
  <mergeCells count="12">
    <mergeCell ref="A53:F53"/>
    <mergeCell ref="A1:F1"/>
    <mergeCell ref="K1:N1"/>
    <mergeCell ref="A3:C3"/>
    <mergeCell ref="E3:I3"/>
    <mergeCell ref="L3:N3"/>
    <mergeCell ref="K8:N8"/>
    <mergeCell ref="A15:C15"/>
    <mergeCell ref="K15:N15"/>
    <mergeCell ref="K24:N24"/>
    <mergeCell ref="A25:C25"/>
    <mergeCell ref="K25:N29"/>
  </mergeCells>
  <conditionalFormatting sqref="G5:G105">
    <cfRule type="containsText" dxfId="7" priority="1" operator="containsText" text="ON">
      <formula>NOT(ISERROR(SEARCH("ON",G5)))</formula>
    </cfRule>
    <cfRule type="containsText" dxfId="6" priority="2" operator="containsText" text="OFF">
      <formula>NOT(ISERROR(SEARCH("OFF",G5)))</formula>
    </cfRule>
  </conditionalFormatting>
  <dataValidations count="3">
    <dataValidation type="list" allowBlank="1" showInputMessage="1" showErrorMessage="1" sqref="B19" xr:uid="{40489200-F6FB-4A5A-81B9-64B02AA33AC4}">
      <formula1>"1,2,3,4,5,6"</formula1>
    </dataValidation>
    <dataValidation type="list" allowBlank="1" showInputMessage="1" showErrorMessage="1" sqref="B18" xr:uid="{58BED4E5-29B1-4109-98F2-17E0BACAC4B3}">
      <formula1>"2,4,6,8"</formula1>
    </dataValidation>
    <dataValidation type="list" allowBlank="1" showInputMessage="1" showErrorMessage="1" sqref="B17" xr:uid="{4EE725C4-FD61-44FE-BBFA-F61631B3F6A8}">
      <formula1>"100,200,300,400,500"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FDDA-7010-43E6-ACF2-03C4ADF0CD8D}">
  <dimension ref="A1:N200"/>
  <sheetViews>
    <sheetView topLeftCell="A12" zoomScale="85" zoomScaleNormal="85" workbookViewId="0">
      <selection activeCell="E3" sqref="E3:I42"/>
    </sheetView>
  </sheetViews>
  <sheetFormatPr defaultRowHeight="15" x14ac:dyDescent="0.25"/>
  <cols>
    <col min="1" max="1" width="41.85546875" customWidth="1"/>
    <col min="2" max="2" width="19" customWidth="1"/>
    <col min="3" max="3" width="34.28515625" customWidth="1"/>
    <col min="5" max="5" width="20.42578125" customWidth="1"/>
    <col min="6" max="6" width="9.5703125" bestFit="1" customWidth="1"/>
    <col min="7" max="7" width="9.7109375" bestFit="1" customWidth="1"/>
    <col min="8" max="8" width="8.28515625" bestFit="1" customWidth="1"/>
    <col min="9" max="9" width="17.140625" customWidth="1"/>
    <col min="11" max="11" width="24.42578125" customWidth="1"/>
  </cols>
  <sheetData>
    <row r="1" spans="1:14" ht="18.75" x14ac:dyDescent="0.3">
      <c r="A1" s="133" t="s">
        <v>6</v>
      </c>
      <c r="B1" s="134"/>
      <c r="C1" s="134"/>
      <c r="D1" s="134"/>
      <c r="E1" s="134"/>
      <c r="F1" s="134"/>
      <c r="K1" s="135" t="s">
        <v>54</v>
      </c>
      <c r="L1" s="111"/>
      <c r="M1" s="111"/>
      <c r="N1" s="111"/>
    </row>
    <row r="3" spans="1:14" x14ac:dyDescent="0.25">
      <c r="A3" s="136" t="s">
        <v>7</v>
      </c>
      <c r="B3" s="137"/>
      <c r="C3" s="137"/>
      <c r="E3" s="138" t="s">
        <v>19</v>
      </c>
      <c r="F3" s="138"/>
      <c r="G3" s="138"/>
      <c r="H3" s="138"/>
      <c r="I3" s="138"/>
      <c r="K3" s="2" t="s">
        <v>55</v>
      </c>
      <c r="L3" s="139" t="s">
        <v>56</v>
      </c>
      <c r="M3" s="111"/>
      <c r="N3" s="111"/>
    </row>
    <row r="4" spans="1:14" x14ac:dyDescent="0.25">
      <c r="A4" s="15" t="s">
        <v>8</v>
      </c>
      <c r="B4" s="15" t="s">
        <v>9</v>
      </c>
      <c r="C4" s="15" t="s">
        <v>10</v>
      </c>
      <c r="E4" s="5" t="s">
        <v>3</v>
      </c>
      <c r="F4" s="5" t="s">
        <v>0</v>
      </c>
      <c r="G4" s="5" t="s">
        <v>4</v>
      </c>
      <c r="H4" s="5" t="s">
        <v>20</v>
      </c>
      <c r="I4" s="14" t="s">
        <v>53</v>
      </c>
    </row>
    <row r="5" spans="1:14" x14ac:dyDescent="0.25">
      <c r="A5" s="13" t="s">
        <v>11</v>
      </c>
      <c r="B5" s="16">
        <f ca="1">COUNTA(INDIRECT("'"&amp;$L$3&amp;"'!A:A"))</f>
        <v>1</v>
      </c>
      <c r="C5" s="11" t="s">
        <v>41</v>
      </c>
      <c r="E5" t="str">
        <f t="shared" ref="E5:E50" si="0">IF(F5&lt;&gt;"",ROW()-4,"")</f>
        <v/>
      </c>
      <c r="F5" t="str" cm="1">
        <f t="array" ref="F5">IFERROR(_xlfn._xlws.FILTER(#REF!,#REF!&lt;&gt;""),"")</f>
        <v/>
      </c>
      <c r="G5" t="str" cm="1">
        <f t="array" ref="G5">IFERROR(_xlfn._xlws.FILTER(#REF!,#REF!&lt;&gt;""),"")</f>
        <v/>
      </c>
      <c r="H5" s="6" t="str" cm="1">
        <f t="array" ref="H5">IFERROR(_xlfn._xlws.FILTER(#REF!,#REF!&lt;&gt;""),"")</f>
        <v/>
      </c>
      <c r="I5" s="4" t="str">
        <f>IFERROR(INDEX(#REF!,MATCH(F5,#REF!,0)),"")</f>
        <v/>
      </c>
      <c r="K5" t="s">
        <v>57</v>
      </c>
      <c r="L5" s="22" t="s">
        <v>58</v>
      </c>
    </row>
    <row r="6" spans="1:14" x14ac:dyDescent="0.25">
      <c r="A6" s="13" t="s">
        <v>12</v>
      </c>
      <c r="B6" s="16" t="e">
        <f ca="1">COUNTIF(INDIRECT("'"&amp;$L$3&amp;"'!E:E"),1)</f>
        <v>#REF!</v>
      </c>
      <c r="C6" s="11" t="s">
        <v>41</v>
      </c>
      <c r="E6" t="str">
        <f t="shared" si="0"/>
        <v/>
      </c>
      <c r="H6" s="6"/>
      <c r="I6" s="4" t="str">
        <f>IFERROR(INDEX(#REF!,MATCH(F6,#REF!,0)),"")</f>
        <v/>
      </c>
      <c r="K6" t="s">
        <v>59</v>
      </c>
      <c r="L6" s="22" t="s">
        <v>60</v>
      </c>
    </row>
    <row r="7" spans="1:14" x14ac:dyDescent="0.25">
      <c r="A7" s="13" t="s">
        <v>13</v>
      </c>
      <c r="B7" s="16" t="e">
        <f ca="1">COUNTIF(INDIRECT("'"&amp;$L$3&amp;"'!E:E"),0)</f>
        <v>#REF!</v>
      </c>
      <c r="C7" s="11" t="s">
        <v>41</v>
      </c>
      <c r="E7" t="str">
        <f t="shared" si="0"/>
        <v/>
      </c>
      <c r="H7" s="6"/>
      <c r="I7" s="4" t="str">
        <f>IFERROR(INDEX(#REF!,MATCH(F7,#REF!,0)),"")</f>
        <v/>
      </c>
    </row>
    <row r="8" spans="1:14" x14ac:dyDescent="0.25">
      <c r="A8" s="13" t="s">
        <v>14</v>
      </c>
      <c r="B8" s="17">
        <f ca="1">IFERROR(ROUND(B6/B5*100,2),0)</f>
        <v>0</v>
      </c>
      <c r="C8" s="11" t="s">
        <v>30</v>
      </c>
      <c r="E8" t="str">
        <f t="shared" si="0"/>
        <v/>
      </c>
      <c r="H8" s="6"/>
      <c r="I8" s="4" t="str">
        <f>IFERROR(INDEX(#REF!,MATCH(F8,#REF!,0)),"")</f>
        <v/>
      </c>
      <c r="K8" s="140" t="s">
        <v>61</v>
      </c>
      <c r="L8" s="111"/>
      <c r="M8" s="111"/>
      <c r="N8" s="111"/>
    </row>
    <row r="9" spans="1:14" x14ac:dyDescent="0.25">
      <c r="A9" s="13" t="s">
        <v>15</v>
      </c>
      <c r="B9" s="17" t="e" cm="1">
        <f t="array" aca="1" ref="B9" ca="1">SUMPRODUCT(--(INDIRECT("'"&amp;$L$3&amp;"'!E2:E"&amp;B5)=1),--(INDIRECT("'"&amp;$L$3&amp;"'!E1:E"&amp;(B5-1))=0))</f>
        <v>#REF!</v>
      </c>
      <c r="C9" s="11" t="s">
        <v>42</v>
      </c>
      <c r="E9" t="str">
        <f t="shared" si="0"/>
        <v/>
      </c>
      <c r="H9" s="6"/>
      <c r="I9" s="4" t="str">
        <f>IFERROR(INDEX(#REF!,MATCH(F9,#REF!,0)),"")</f>
        <v/>
      </c>
    </row>
    <row r="10" spans="1:14" x14ac:dyDescent="0.25">
      <c r="A10" s="13" t="s">
        <v>16</v>
      </c>
      <c r="B10" s="17" t="e" cm="1">
        <f t="array" aca="1" ref="B10" ca="1">SUMPRODUCT(--(INDIRECT("'"&amp;$L$3&amp;"'!E2:E"&amp;B5)=0),--(INDIRECT("'"&amp;$L$3&amp;"'!E1:E"&amp;(B5-1))=1))</f>
        <v>#REF!</v>
      </c>
      <c r="C10" s="11" t="s">
        <v>42</v>
      </c>
      <c r="E10" t="str">
        <f t="shared" si="0"/>
        <v/>
      </c>
      <c r="H10" s="6"/>
      <c r="I10" s="4" t="str">
        <f>IFERROR(INDEX(#REF!,MATCH(F10,#REF!,0)),"")</f>
        <v/>
      </c>
      <c r="K10" t="s">
        <v>66</v>
      </c>
      <c r="L10">
        <f ca="1">IFERROR(B13/(B5-1),0)</f>
        <v>0</v>
      </c>
    </row>
    <row r="11" spans="1:14" x14ac:dyDescent="0.25">
      <c r="A11" s="13" t="s">
        <v>17</v>
      </c>
      <c r="B11" s="17" t="e">
        <f ca="1">B9+B10</f>
        <v>#REF!</v>
      </c>
      <c r="C11" s="11" t="s">
        <v>42</v>
      </c>
      <c r="E11" t="str">
        <f t="shared" si="0"/>
        <v/>
      </c>
      <c r="H11" s="6"/>
      <c r="I11" s="4" t="str">
        <f>IFERROR(INDEX(#REF!,MATCH(F11,#REF!,0)),"")</f>
        <v/>
      </c>
    </row>
    <row r="12" spans="1:14" x14ac:dyDescent="0.25">
      <c r="A12" s="13" t="s">
        <v>18</v>
      </c>
      <c r="B12" s="17">
        <f ca="1">IFERROR(ROUND(B6/B9,2),0)</f>
        <v>0</v>
      </c>
      <c r="C12" s="11" t="s">
        <v>41</v>
      </c>
      <c r="E12" t="str">
        <f t="shared" si="0"/>
        <v/>
      </c>
      <c r="H12" s="6"/>
      <c r="I12" s="4" t="str">
        <f>IFERROR(INDEX(#REF!,MATCH(F12,#REF!,0)),"")</f>
        <v/>
      </c>
      <c r="K12" t="s">
        <v>75</v>
      </c>
      <c r="L12">
        <f ca="1">B5</f>
        <v>1</v>
      </c>
    </row>
    <row r="13" spans="1:14" x14ac:dyDescent="0.25">
      <c r="A13" s="13" t="s">
        <v>21</v>
      </c>
      <c r="B13" s="12" cm="1">
        <f t="array" aca="1" ref="B13" ca="1">IFERROR((INDIRECT("'"&amp;$L$3&amp;"'!A"&amp;COUNTA(INDIRECT("'"&amp;$L$3&amp;"'!A:A")))-INDIRECT("'"&amp;$L$3&amp;"'!A1"))*86400,0)</f>
        <v>0</v>
      </c>
      <c r="C13" s="11" t="s">
        <v>43</v>
      </c>
      <c r="E13" t="str">
        <f t="shared" si="0"/>
        <v/>
      </c>
      <c r="H13" s="6"/>
      <c r="I13" s="4" t="str">
        <f>IFERROR(INDEX(#REF!,MATCH(F13,#REF!,0)),"")</f>
        <v/>
      </c>
      <c r="K13" t="s">
        <v>76</v>
      </c>
      <c r="L13">
        <f ca="1">IFERROR(ROUND(1/$L$10,2),0)</f>
        <v>0</v>
      </c>
    </row>
    <row r="14" spans="1:14" x14ac:dyDescent="0.25">
      <c r="E14" t="str">
        <f t="shared" si="0"/>
        <v/>
      </c>
      <c r="H14" s="6"/>
      <c r="I14" s="4" t="str">
        <f>IFERROR(INDEX(#REF!,MATCH(F14,#REF!,0)),"")</f>
        <v/>
      </c>
    </row>
    <row r="15" spans="1:14" x14ac:dyDescent="0.25">
      <c r="A15" s="132" t="s">
        <v>22</v>
      </c>
      <c r="B15" s="141"/>
      <c r="C15" s="141"/>
      <c r="E15" t="str">
        <f t="shared" si="0"/>
        <v/>
      </c>
      <c r="H15" s="6"/>
      <c r="I15" s="4" t="str">
        <f>IFERROR(INDEX(#REF!,MATCH(F15,#REF!,0)),"")</f>
        <v/>
      </c>
      <c r="K15" s="142" t="s">
        <v>77</v>
      </c>
      <c r="L15" s="111"/>
      <c r="M15" s="111"/>
      <c r="N15" s="111"/>
    </row>
    <row r="16" spans="1:14" x14ac:dyDescent="0.25">
      <c r="A16" s="13" t="s">
        <v>8</v>
      </c>
      <c r="B16" s="13" t="s">
        <v>23</v>
      </c>
      <c r="C16" s="13" t="s">
        <v>5</v>
      </c>
      <c r="E16" t="str">
        <f t="shared" si="0"/>
        <v/>
      </c>
      <c r="H16" s="6"/>
      <c r="I16" s="4" t="str">
        <f>IFERROR(INDEX(#REF!,MATCH(F16,#REF!,0)),"")</f>
        <v/>
      </c>
      <c r="K16" s="24" t="s">
        <v>39</v>
      </c>
      <c r="L16" s="24" t="s">
        <v>78</v>
      </c>
      <c r="M16" s="24" t="s">
        <v>79</v>
      </c>
      <c r="N16" s="24" t="s">
        <v>9</v>
      </c>
    </row>
    <row r="17" spans="1:14" x14ac:dyDescent="0.25">
      <c r="A17" s="13" t="s">
        <v>24</v>
      </c>
      <c r="B17" s="18">
        <v>100</v>
      </c>
      <c r="C17" s="7" t="s">
        <v>44</v>
      </c>
      <c r="E17" t="str">
        <f t="shared" si="0"/>
        <v/>
      </c>
      <c r="H17" s="6"/>
      <c r="I17" s="4" t="str">
        <f>IFERROR(INDEX(#REF!,MATCH(F17,#REF!,0)),"")</f>
        <v/>
      </c>
      <c r="K17" t="s">
        <v>80</v>
      </c>
      <c r="L17" t="s">
        <v>81</v>
      </c>
      <c r="M17" t="s">
        <v>82</v>
      </c>
      <c r="N17" t="s">
        <v>83</v>
      </c>
    </row>
    <row r="18" spans="1:14" x14ac:dyDescent="0.25">
      <c r="A18" s="13" t="s">
        <v>25</v>
      </c>
      <c r="B18" s="18">
        <v>6</v>
      </c>
      <c r="C18" s="7" t="s">
        <v>26</v>
      </c>
      <c r="E18" t="str">
        <f t="shared" si="0"/>
        <v/>
      </c>
      <c r="H18" s="6"/>
      <c r="I18" s="4" t="str">
        <f>IFERROR(INDEX(#REF!,MATCH(F18,#REF!,0)),"")</f>
        <v/>
      </c>
      <c r="K18" t="s">
        <v>84</v>
      </c>
      <c r="L18" t="s">
        <v>81</v>
      </c>
      <c r="M18" t="s">
        <v>85</v>
      </c>
      <c r="N18" t="s">
        <v>86</v>
      </c>
    </row>
    <row r="19" spans="1:14" x14ac:dyDescent="0.25">
      <c r="A19" s="13" t="s">
        <v>34</v>
      </c>
      <c r="B19" s="19">
        <v>1</v>
      </c>
      <c r="C19" s="7" t="s">
        <v>26</v>
      </c>
      <c r="E19" t="str">
        <f t="shared" si="0"/>
        <v/>
      </c>
      <c r="H19" s="6"/>
      <c r="I19" s="4" t="str">
        <f>IFERROR(INDEX(#REF!,MATCH(F19,#REF!,0)),"")</f>
        <v/>
      </c>
      <c r="K19" t="s">
        <v>87</v>
      </c>
      <c r="L19" t="s">
        <v>88</v>
      </c>
      <c r="M19" t="s">
        <v>82</v>
      </c>
      <c r="N19" t="s">
        <v>89</v>
      </c>
    </row>
    <row r="20" spans="1:14" x14ac:dyDescent="0.25">
      <c r="A20" s="13" t="s">
        <v>31</v>
      </c>
      <c r="B20" s="8">
        <f ca="1">B13</f>
        <v>0</v>
      </c>
      <c r="C20" s="7" t="s">
        <v>43</v>
      </c>
      <c r="E20" t="str">
        <f t="shared" si="0"/>
        <v/>
      </c>
      <c r="H20" s="6"/>
      <c r="I20" s="4" t="str">
        <f>IFERROR(INDEX(#REF!,MATCH(F20,#REF!,0)),"")</f>
        <v/>
      </c>
      <c r="K20" t="s">
        <v>90</v>
      </c>
      <c r="L20" t="s">
        <v>91</v>
      </c>
      <c r="M20" t="s">
        <v>92</v>
      </c>
      <c r="N20" t="s">
        <v>93</v>
      </c>
    </row>
    <row r="21" spans="1:14" x14ac:dyDescent="0.25">
      <c r="A21" s="13" t="s">
        <v>27</v>
      </c>
      <c r="B21" s="8">
        <f ca="1">IFERROR(ROUND(B20*B17/60,2),0)</f>
        <v>0</v>
      </c>
      <c r="C21" s="7" t="s">
        <v>45</v>
      </c>
      <c r="E21" t="str">
        <f t="shared" si="0"/>
        <v/>
      </c>
      <c r="H21" s="6"/>
      <c r="I21" s="4" t="str">
        <f>IFERROR(INDEX(#REF!,MATCH(F21,#REF!,0)),"")</f>
        <v/>
      </c>
      <c r="K21" t="s">
        <v>94</v>
      </c>
      <c r="L21" t="s">
        <v>91</v>
      </c>
      <c r="M21" t="s">
        <v>85</v>
      </c>
      <c r="N21" t="s">
        <v>95</v>
      </c>
    </row>
    <row r="22" spans="1:14" x14ac:dyDescent="0.25">
      <c r="A22" s="13" t="s">
        <v>37</v>
      </c>
      <c r="B22" s="8">
        <f ca="1">IFERROR(ROUND(B21*B18,0),0)</f>
        <v>0</v>
      </c>
      <c r="C22" s="7" t="s">
        <v>46</v>
      </c>
      <c r="E22" t="str">
        <f t="shared" si="0"/>
        <v/>
      </c>
      <c r="H22" s="6"/>
      <c r="I22" s="4" t="str">
        <f>IFERROR(INDEX(#REF!,MATCH(F22,#REF!,0)),"")</f>
        <v/>
      </c>
      <c r="K22" t="s">
        <v>96</v>
      </c>
      <c r="L22" t="s">
        <v>97</v>
      </c>
      <c r="M22" t="s">
        <v>92</v>
      </c>
      <c r="N22" t="s">
        <v>98</v>
      </c>
    </row>
    <row r="23" spans="1:14" x14ac:dyDescent="0.25">
      <c r="A23" s="20" t="s">
        <v>38</v>
      </c>
      <c r="B23" s="17">
        <f ca="1">IFERROR(ROUND(B22*(B19/B18),0),0)</f>
        <v>0</v>
      </c>
      <c r="C23" s="10" t="s">
        <v>33</v>
      </c>
      <c r="E23" t="str">
        <f t="shared" si="0"/>
        <v/>
      </c>
      <c r="H23" s="6"/>
      <c r="I23" s="4" t="str">
        <f>IFERROR(INDEX(#REF!,MATCH(F23,#REF!,0)),"")</f>
        <v/>
      </c>
    </row>
    <row r="24" spans="1:14" x14ac:dyDescent="0.25">
      <c r="E24" t="str">
        <f t="shared" si="0"/>
        <v/>
      </c>
      <c r="H24" s="6"/>
      <c r="I24" s="4" t="str">
        <f>IFERROR(INDEX(#REF!,MATCH(F24,#REF!,0)),"")</f>
        <v/>
      </c>
      <c r="K24" s="143" t="s">
        <v>99</v>
      </c>
      <c r="L24" s="111"/>
      <c r="M24" s="111"/>
      <c r="N24" s="111"/>
    </row>
    <row r="25" spans="1:14" x14ac:dyDescent="0.25">
      <c r="A25" s="132" t="s">
        <v>28</v>
      </c>
      <c r="B25" s="141"/>
      <c r="C25" s="141"/>
      <c r="E25" t="str">
        <f t="shared" si="0"/>
        <v/>
      </c>
      <c r="H25" s="6"/>
      <c r="I25" s="4" t="str">
        <f>IFERROR(INDEX(#REF!,MATCH(F25,#REF!,0)),"")</f>
        <v/>
      </c>
      <c r="K25" s="144" t="s">
        <v>100</v>
      </c>
      <c r="L25" s="111"/>
      <c r="M25" s="111"/>
      <c r="N25" s="111"/>
    </row>
    <row r="26" spans="1:14" x14ac:dyDescent="0.25">
      <c r="A26" s="13" t="s">
        <v>8</v>
      </c>
      <c r="B26" s="13" t="s">
        <v>23</v>
      </c>
      <c r="C26" s="13" t="s">
        <v>5</v>
      </c>
      <c r="E26" t="str">
        <f t="shared" si="0"/>
        <v/>
      </c>
      <c r="H26" s="6"/>
      <c r="I26" s="4" t="str">
        <f>IFERROR(INDEX(#REF!,MATCH(F26,#REF!,0)),"")</f>
        <v/>
      </c>
      <c r="K26" s="144"/>
      <c r="L26" s="111"/>
      <c r="M26" s="111"/>
      <c r="N26" s="111"/>
    </row>
    <row r="27" spans="1:14" x14ac:dyDescent="0.25">
      <c r="A27" s="7" t="s">
        <v>29</v>
      </c>
      <c r="B27" s="8" t="e">
        <f ca="1">B9</f>
        <v>#REF!</v>
      </c>
      <c r="C27" s="7" t="s">
        <v>33</v>
      </c>
      <c r="E27" t="str">
        <f t="shared" si="0"/>
        <v/>
      </c>
      <c r="H27" s="6"/>
      <c r="I27" s="4" t="str">
        <f>IFERROR(INDEX(#REF!,MATCH(F27,#REF!,0)),"")</f>
        <v/>
      </c>
      <c r="K27" s="144"/>
      <c r="L27" s="111"/>
      <c r="M27" s="111"/>
      <c r="N27" s="111"/>
    </row>
    <row r="28" spans="1:14" x14ac:dyDescent="0.25">
      <c r="A28" s="7" t="s">
        <v>35</v>
      </c>
      <c r="B28" s="8">
        <f ca="1">B23</f>
        <v>0</v>
      </c>
      <c r="C28" s="7" t="s">
        <v>33</v>
      </c>
      <c r="E28" t="str">
        <f t="shared" si="0"/>
        <v/>
      </c>
      <c r="H28" s="6"/>
      <c r="I28" s="4" t="str">
        <f>IFERROR(INDEX(#REF!,MATCH(F28,#REF!,0)),"")</f>
        <v/>
      </c>
      <c r="K28" s="144"/>
      <c r="L28" s="111"/>
      <c r="M28" s="111"/>
      <c r="N28" s="111"/>
    </row>
    <row r="29" spans="1:14" x14ac:dyDescent="0.25">
      <c r="A29" s="7" t="s">
        <v>32</v>
      </c>
      <c r="B29" s="8" t="e">
        <f ca="1">B27-B28</f>
        <v>#REF!</v>
      </c>
      <c r="C29" s="7" t="s">
        <v>33</v>
      </c>
      <c r="E29" t="str">
        <f t="shared" si="0"/>
        <v/>
      </c>
      <c r="H29" s="6"/>
      <c r="I29" s="4" t="str">
        <f>IFERROR(INDEX(#REF!,MATCH(F29,#REF!,0)),"")</f>
        <v/>
      </c>
      <c r="K29" s="144"/>
      <c r="L29" s="111"/>
      <c r="M29" s="111"/>
      <c r="N29" s="111"/>
    </row>
    <row r="30" spans="1:14" x14ac:dyDescent="0.25">
      <c r="A30" s="7" t="s">
        <v>14</v>
      </c>
      <c r="B30" s="8">
        <f ca="1">B8</f>
        <v>0</v>
      </c>
      <c r="C30" s="7" t="s">
        <v>30</v>
      </c>
      <c r="E30" t="str">
        <f t="shared" si="0"/>
        <v/>
      </c>
      <c r="H30" s="6"/>
      <c r="I30" s="4" t="str">
        <f>IFERROR(INDEX(#REF!,MATCH(F30,#REF!,0)),"")</f>
        <v/>
      </c>
    </row>
    <row r="31" spans="1:14" ht="18.75" x14ac:dyDescent="0.3">
      <c r="A31" s="9" t="s">
        <v>36</v>
      </c>
      <c r="B31" s="21">
        <f ca="1">IFERROR(ROUND(MIN(B27,B28)/MAX(B27,B28)*100,2),0)</f>
        <v>0</v>
      </c>
      <c r="C31" s="9" t="s">
        <v>30</v>
      </c>
      <c r="E31" t="str">
        <f t="shared" si="0"/>
        <v/>
      </c>
      <c r="H31" s="6"/>
      <c r="I31" s="4" t="str">
        <f>IFERROR(INDEX(#REF!,MATCH(F31,#REF!,0)),"")</f>
        <v/>
      </c>
    </row>
    <row r="32" spans="1:14" x14ac:dyDescent="0.25">
      <c r="E32" t="str">
        <f t="shared" si="0"/>
        <v/>
      </c>
      <c r="H32" s="6"/>
      <c r="I32" s="4" t="str">
        <f>IFERROR(INDEX(#REF!,MATCH(F32,#REF!,0)),"")</f>
        <v/>
      </c>
    </row>
    <row r="33" spans="5:9" x14ac:dyDescent="0.25">
      <c r="E33" t="str">
        <f t="shared" si="0"/>
        <v/>
      </c>
      <c r="H33" s="6"/>
      <c r="I33" s="4" t="str">
        <f>IFERROR(INDEX(#REF!,MATCH(F53,#REF!,0)),"")</f>
        <v/>
      </c>
    </row>
    <row r="34" spans="5:9" x14ac:dyDescent="0.25">
      <c r="E34" t="str">
        <f t="shared" si="0"/>
        <v/>
      </c>
      <c r="H34" s="6"/>
      <c r="I34" s="4" t="str">
        <f>IFERROR(INDEX(#REF!,MATCH(F54,#REF!,0)),"")</f>
        <v/>
      </c>
    </row>
    <row r="35" spans="5:9" x14ac:dyDescent="0.25">
      <c r="E35" t="str">
        <f t="shared" si="0"/>
        <v/>
      </c>
      <c r="H35" s="6"/>
      <c r="I35" s="4" t="str">
        <f>IFERROR(INDEX(#REF!,MATCH(F55,#REF!,0)),"")</f>
        <v/>
      </c>
    </row>
    <row r="36" spans="5:9" x14ac:dyDescent="0.25">
      <c r="E36" t="str">
        <f t="shared" si="0"/>
        <v/>
      </c>
      <c r="H36" s="6"/>
      <c r="I36" s="4" t="str">
        <f>IFERROR(INDEX(#REF!,MATCH(F56,#REF!,0)),"")</f>
        <v/>
      </c>
    </row>
    <row r="37" spans="5:9" x14ac:dyDescent="0.25">
      <c r="E37" t="str">
        <f t="shared" si="0"/>
        <v/>
      </c>
      <c r="H37" s="6"/>
      <c r="I37" s="4" t="str">
        <f>IFERROR(INDEX(#REF!,MATCH(F57,#REF!,0)),"")</f>
        <v/>
      </c>
    </row>
    <row r="38" spans="5:9" x14ac:dyDescent="0.25">
      <c r="E38" t="str">
        <f t="shared" si="0"/>
        <v/>
      </c>
      <c r="H38" s="6"/>
      <c r="I38" s="4" t="str">
        <f>IFERROR(INDEX(#REF!,MATCH(F58,#REF!,0)),"")</f>
        <v/>
      </c>
    </row>
    <row r="39" spans="5:9" x14ac:dyDescent="0.25">
      <c r="E39" t="str">
        <f t="shared" si="0"/>
        <v/>
      </c>
      <c r="H39" s="6"/>
    </row>
    <row r="40" spans="5:9" x14ac:dyDescent="0.25">
      <c r="E40" t="str">
        <f t="shared" si="0"/>
        <v/>
      </c>
      <c r="H40" s="6"/>
    </row>
    <row r="41" spans="5:9" x14ac:dyDescent="0.25">
      <c r="E41" t="str">
        <f t="shared" si="0"/>
        <v/>
      </c>
      <c r="H41" s="6"/>
    </row>
    <row r="42" spans="5:9" x14ac:dyDescent="0.25">
      <c r="E42" t="str">
        <f t="shared" si="0"/>
        <v/>
      </c>
      <c r="H42" s="6"/>
    </row>
    <row r="43" spans="5:9" x14ac:dyDescent="0.25">
      <c r="E43" t="str">
        <f t="shared" si="0"/>
        <v/>
      </c>
      <c r="H43" s="6"/>
    </row>
    <row r="44" spans="5:9" x14ac:dyDescent="0.25">
      <c r="E44" t="str">
        <f t="shared" si="0"/>
        <v/>
      </c>
      <c r="H44" s="6"/>
    </row>
    <row r="45" spans="5:9" x14ac:dyDescent="0.25">
      <c r="E45" t="str">
        <f t="shared" si="0"/>
        <v/>
      </c>
      <c r="H45" s="6"/>
    </row>
    <row r="46" spans="5:9" x14ac:dyDescent="0.25">
      <c r="E46" t="str">
        <f t="shared" si="0"/>
        <v/>
      </c>
      <c r="H46" s="6"/>
    </row>
    <row r="47" spans="5:9" x14ac:dyDescent="0.25">
      <c r="E47" t="str">
        <f t="shared" si="0"/>
        <v/>
      </c>
      <c r="H47" s="6"/>
    </row>
    <row r="48" spans="5:9" x14ac:dyDescent="0.25">
      <c r="E48" t="str">
        <f t="shared" si="0"/>
        <v/>
      </c>
      <c r="H48" s="6"/>
    </row>
    <row r="49" spans="1:8" x14ac:dyDescent="0.25">
      <c r="E49" t="str">
        <f t="shared" si="0"/>
        <v/>
      </c>
      <c r="H49" s="6"/>
    </row>
    <row r="50" spans="1:8" x14ac:dyDescent="0.25">
      <c r="E50" t="str">
        <f t="shared" si="0"/>
        <v/>
      </c>
      <c r="H50" s="6"/>
    </row>
    <row r="51" spans="1:8" x14ac:dyDescent="0.25">
      <c r="E51" t="str">
        <f t="shared" ref="E51:E68" si="1">IF(F51&lt;&gt;"",ROW()-4,"")</f>
        <v/>
      </c>
      <c r="H51" s="6"/>
    </row>
    <row r="52" spans="1:8" x14ac:dyDescent="0.25">
      <c r="E52" t="str">
        <f t="shared" si="1"/>
        <v/>
      </c>
      <c r="H52" s="6"/>
    </row>
    <row r="53" spans="1:8" x14ac:dyDescent="0.25">
      <c r="A53" s="132" t="s">
        <v>62</v>
      </c>
      <c r="B53" s="111"/>
      <c r="C53" s="111"/>
      <c r="D53" s="111"/>
      <c r="E53" s="111"/>
      <c r="F53" s="111"/>
      <c r="H53" s="6"/>
    </row>
    <row r="54" spans="1:8" x14ac:dyDescent="0.25">
      <c r="A54" s="3" t="s">
        <v>8</v>
      </c>
      <c r="B54" s="3" t="s">
        <v>63</v>
      </c>
      <c r="C54" s="3" t="s">
        <v>64</v>
      </c>
      <c r="D54" s="3" t="s">
        <v>65</v>
      </c>
      <c r="E54" s="3" t="s">
        <v>5</v>
      </c>
      <c r="H54" s="6"/>
    </row>
    <row r="55" spans="1:8" x14ac:dyDescent="0.25">
      <c r="A55" s="13" t="s">
        <v>67</v>
      </c>
      <c r="B55" s="8">
        <f ca="1">IFERROR(ROUND(B12*$L$10*1000000,2),0)</f>
        <v>0</v>
      </c>
      <c r="C55" s="7">
        <f ca="1">ROUND(B55/1000,4)</f>
        <v>0</v>
      </c>
      <c r="D55">
        <f ca="1">ROUND(C55/1000,6)</f>
        <v>0</v>
      </c>
      <c r="E55" t="s">
        <v>101</v>
      </c>
      <c r="H55" s="6"/>
    </row>
    <row r="56" spans="1:8" x14ac:dyDescent="0.25">
      <c r="A56" s="13" t="s">
        <v>68</v>
      </c>
      <c r="B56" s="8">
        <f ca="1">IFERROR(ROUND((B7/B10)*$L$10*1000000,2),0)</f>
        <v>0</v>
      </c>
      <c r="C56" s="7">
        <f ca="1">ROUND(B56/1000,4)</f>
        <v>0</v>
      </c>
      <c r="D56">
        <f ca="1">ROUND(C56/1000,6)</f>
        <v>0</v>
      </c>
      <c r="E56" t="s">
        <v>102</v>
      </c>
      <c r="H56" s="6"/>
    </row>
    <row r="57" spans="1:8" x14ac:dyDescent="0.25">
      <c r="A57" s="7" t="s">
        <v>47</v>
      </c>
      <c r="B57" s="8">
        <f ca="1">ROUND(B55+B56,2)</f>
        <v>0</v>
      </c>
      <c r="C57" s="7">
        <f ca="1">ROUND(C55+C56,4)</f>
        <v>0</v>
      </c>
      <c r="D57">
        <f ca="1">ROUND(D55+D56,6)</f>
        <v>0</v>
      </c>
      <c r="E57" t="s">
        <v>103</v>
      </c>
      <c r="H57" s="6"/>
    </row>
    <row r="58" spans="1:8" x14ac:dyDescent="0.25">
      <c r="A58" s="7" t="s">
        <v>48</v>
      </c>
      <c r="B58" s="8">
        <f ca="1">ROUND($L$10*1000000,2)</f>
        <v>0</v>
      </c>
      <c r="C58" s="7">
        <f ca="1">ROUND(B58/1000,4)</f>
        <v>0</v>
      </c>
      <c r="D58">
        <f ca="1">ROUND(C58/1000,6)</f>
        <v>0</v>
      </c>
      <c r="E58" s="23" t="s">
        <v>70</v>
      </c>
      <c r="H58" s="6"/>
    </row>
    <row r="59" spans="1:8" x14ac:dyDescent="0.25">
      <c r="A59" s="7" t="s">
        <v>49</v>
      </c>
      <c r="B59" s="8">
        <f ca="1">IFERROR(ROUND(B55*2,2),0)</f>
        <v>0</v>
      </c>
      <c r="C59" s="7">
        <f ca="1">ROUND(B59/1000,4)</f>
        <v>0</v>
      </c>
      <c r="D59">
        <f ca="1">ROUND(C59/1000,6)</f>
        <v>0</v>
      </c>
      <c r="E59" s="23" t="s">
        <v>71</v>
      </c>
      <c r="H59" s="6"/>
    </row>
    <row r="60" spans="1:8" x14ac:dyDescent="0.25">
      <c r="A60" s="7" t="s">
        <v>50</v>
      </c>
      <c r="B60" s="8">
        <f ca="1">ROUND($L$10*1000000,2)</f>
        <v>0</v>
      </c>
      <c r="C60" s="7">
        <f ca="1">ROUND(B60/1000,4)</f>
        <v>0</v>
      </c>
      <c r="D60">
        <f ca="1">ROUND(C60/1000,6)</f>
        <v>0</v>
      </c>
      <c r="E60" s="23" t="s">
        <v>70</v>
      </c>
      <c r="H60" s="6"/>
    </row>
    <row r="61" spans="1:8" x14ac:dyDescent="0.25">
      <c r="A61" s="7" t="s">
        <v>51</v>
      </c>
      <c r="B61" s="8">
        <f ca="1">IFERROR(ROUND(B56*2,2),0)</f>
        <v>0</v>
      </c>
      <c r="C61" s="7">
        <f ca="1">ROUND(B61/1000,4)</f>
        <v>0</v>
      </c>
      <c r="D61">
        <f ca="1">ROUND(C61/1000,6)</f>
        <v>0</v>
      </c>
      <c r="E61" s="23" t="s">
        <v>72</v>
      </c>
      <c r="H61" s="6"/>
    </row>
    <row r="62" spans="1:8" x14ac:dyDescent="0.25">
      <c r="A62" s="7" t="s">
        <v>52</v>
      </c>
      <c r="B62" s="8">
        <f ca="1">IFERROR(ROUND(ABS(B55-B56)/2,2),0)</f>
        <v>0</v>
      </c>
      <c r="C62" s="7">
        <f ca="1">ROUND(B62/1000,4)</f>
        <v>0</v>
      </c>
      <c r="D62">
        <f ca="1">ROUND(C62/1000,6)</f>
        <v>0</v>
      </c>
      <c r="E62" s="23" t="s">
        <v>73</v>
      </c>
      <c r="H62" s="6"/>
    </row>
    <row r="63" spans="1:8" x14ac:dyDescent="0.25">
      <c r="A63" s="7" t="s">
        <v>69</v>
      </c>
      <c r="B63" s="8">
        <f ca="1">IFERROR(ROUND(1000000/B57,2),0)</f>
        <v>0</v>
      </c>
      <c r="C63" s="7">
        <f ca="1">IFERROR(ROUND(1000/C57,2),0)</f>
        <v>0</v>
      </c>
      <c r="D63">
        <f ca="1">IFERROR(ROUND(1/D57,2),0)</f>
        <v>0</v>
      </c>
      <c r="E63" s="23" t="s">
        <v>74</v>
      </c>
      <c r="H63" s="6"/>
    </row>
    <row r="64" spans="1:8" x14ac:dyDescent="0.25">
      <c r="E64" t="str">
        <f t="shared" si="1"/>
        <v/>
      </c>
      <c r="H64" s="6"/>
    </row>
    <row r="65" spans="5:8" x14ac:dyDescent="0.25">
      <c r="E65" t="str">
        <f t="shared" si="1"/>
        <v/>
      </c>
      <c r="H65" s="6"/>
    </row>
    <row r="66" spans="5:8" x14ac:dyDescent="0.25">
      <c r="E66" t="str">
        <f t="shared" si="1"/>
        <v/>
      </c>
      <c r="H66" s="6"/>
    </row>
    <row r="67" spans="5:8" x14ac:dyDescent="0.25">
      <c r="E67" t="str">
        <f t="shared" si="1"/>
        <v/>
      </c>
      <c r="H67" s="6"/>
    </row>
    <row r="68" spans="5:8" x14ac:dyDescent="0.25">
      <c r="E68" t="str">
        <f t="shared" si="1"/>
        <v/>
      </c>
      <c r="H68" s="6"/>
    </row>
    <row r="69" spans="5:8" x14ac:dyDescent="0.25">
      <c r="E69" t="str">
        <f t="shared" ref="E69:E100" si="2">IF(F69&lt;&gt;"",ROW()-4,"")</f>
        <v/>
      </c>
      <c r="H69" s="6"/>
    </row>
    <row r="70" spans="5:8" x14ac:dyDescent="0.25">
      <c r="E70" t="str">
        <f t="shared" si="2"/>
        <v/>
      </c>
      <c r="H70" s="6"/>
    </row>
    <row r="71" spans="5:8" x14ac:dyDescent="0.25">
      <c r="E71" t="str">
        <f t="shared" si="2"/>
        <v/>
      </c>
      <c r="H71" s="6"/>
    </row>
    <row r="72" spans="5:8" x14ac:dyDescent="0.25">
      <c r="E72" t="str">
        <f t="shared" si="2"/>
        <v/>
      </c>
      <c r="H72" s="6"/>
    </row>
    <row r="73" spans="5:8" x14ac:dyDescent="0.25">
      <c r="E73" t="str">
        <f t="shared" si="2"/>
        <v/>
      </c>
      <c r="H73" s="6"/>
    </row>
    <row r="74" spans="5:8" x14ac:dyDescent="0.25">
      <c r="E74" t="str">
        <f t="shared" si="2"/>
        <v/>
      </c>
      <c r="H74" s="6"/>
    </row>
    <row r="75" spans="5:8" x14ac:dyDescent="0.25">
      <c r="E75" t="str">
        <f t="shared" si="2"/>
        <v/>
      </c>
      <c r="H75" s="6"/>
    </row>
    <row r="76" spans="5:8" x14ac:dyDescent="0.25">
      <c r="E76" t="str">
        <f t="shared" si="2"/>
        <v/>
      </c>
      <c r="H76" s="6"/>
    </row>
    <row r="77" spans="5:8" x14ac:dyDescent="0.25">
      <c r="E77" t="str">
        <f t="shared" si="2"/>
        <v/>
      </c>
      <c r="H77" s="6"/>
    </row>
    <row r="78" spans="5:8" x14ac:dyDescent="0.25">
      <c r="E78" t="str">
        <f t="shared" si="2"/>
        <v/>
      </c>
      <c r="H78" s="6"/>
    </row>
    <row r="79" spans="5:8" x14ac:dyDescent="0.25">
      <c r="E79" t="str">
        <f t="shared" si="2"/>
        <v/>
      </c>
      <c r="H79" s="6"/>
    </row>
    <row r="80" spans="5:8" x14ac:dyDescent="0.25">
      <c r="E80" t="str">
        <f t="shared" si="2"/>
        <v/>
      </c>
      <c r="H80" s="6"/>
    </row>
    <row r="81" spans="5:8" x14ac:dyDescent="0.25">
      <c r="E81" t="str">
        <f t="shared" si="2"/>
        <v/>
      </c>
      <c r="H81" s="6"/>
    </row>
    <row r="82" spans="5:8" x14ac:dyDescent="0.25">
      <c r="E82" t="str">
        <f t="shared" si="2"/>
        <v/>
      </c>
      <c r="H82" s="6"/>
    </row>
    <row r="83" spans="5:8" x14ac:dyDescent="0.25">
      <c r="E83" t="str">
        <f t="shared" si="2"/>
        <v/>
      </c>
      <c r="H83" s="6"/>
    </row>
    <row r="84" spans="5:8" x14ac:dyDescent="0.25">
      <c r="E84" t="str">
        <f t="shared" si="2"/>
        <v/>
      </c>
      <c r="H84" s="6"/>
    </row>
    <row r="85" spans="5:8" x14ac:dyDescent="0.25">
      <c r="E85" t="str">
        <f t="shared" si="2"/>
        <v/>
      </c>
      <c r="H85" s="6"/>
    </row>
    <row r="86" spans="5:8" x14ac:dyDescent="0.25">
      <c r="E86" t="str">
        <f t="shared" si="2"/>
        <v/>
      </c>
      <c r="H86" s="6"/>
    </row>
    <row r="87" spans="5:8" x14ac:dyDescent="0.25">
      <c r="E87" t="str">
        <f t="shared" si="2"/>
        <v/>
      </c>
      <c r="H87" s="6"/>
    </row>
    <row r="88" spans="5:8" x14ac:dyDescent="0.25">
      <c r="E88" t="str">
        <f t="shared" si="2"/>
        <v/>
      </c>
      <c r="H88" s="6"/>
    </row>
    <row r="89" spans="5:8" x14ac:dyDescent="0.25">
      <c r="E89" t="str">
        <f t="shared" si="2"/>
        <v/>
      </c>
      <c r="H89" s="6"/>
    </row>
    <row r="90" spans="5:8" x14ac:dyDescent="0.25">
      <c r="E90" t="str">
        <f t="shared" si="2"/>
        <v/>
      </c>
      <c r="H90" s="6"/>
    </row>
    <row r="91" spans="5:8" x14ac:dyDescent="0.25">
      <c r="E91" t="str">
        <f t="shared" si="2"/>
        <v/>
      </c>
      <c r="H91" s="6"/>
    </row>
    <row r="92" spans="5:8" x14ac:dyDescent="0.25">
      <c r="E92" t="str">
        <f t="shared" si="2"/>
        <v/>
      </c>
      <c r="H92" s="6"/>
    </row>
    <row r="93" spans="5:8" x14ac:dyDescent="0.25">
      <c r="E93" t="str">
        <f t="shared" si="2"/>
        <v/>
      </c>
      <c r="H93" s="6"/>
    </row>
    <row r="94" spans="5:8" x14ac:dyDescent="0.25">
      <c r="E94" t="str">
        <f t="shared" si="2"/>
        <v/>
      </c>
      <c r="H94" s="6"/>
    </row>
    <row r="95" spans="5:8" x14ac:dyDescent="0.25">
      <c r="E95" t="str">
        <f t="shared" si="2"/>
        <v/>
      </c>
      <c r="H95" s="6"/>
    </row>
    <row r="96" spans="5:8" x14ac:dyDescent="0.25">
      <c r="E96" t="str">
        <f t="shared" si="2"/>
        <v/>
      </c>
      <c r="H96" s="6"/>
    </row>
    <row r="97" spans="5:8" x14ac:dyDescent="0.25">
      <c r="E97" t="str">
        <f t="shared" si="2"/>
        <v/>
      </c>
      <c r="H97" s="6"/>
    </row>
    <row r="98" spans="5:8" x14ac:dyDescent="0.25">
      <c r="E98" t="str">
        <f t="shared" si="2"/>
        <v/>
      </c>
      <c r="H98" s="6"/>
    </row>
    <row r="99" spans="5:8" x14ac:dyDescent="0.25">
      <c r="E99" t="str">
        <f t="shared" si="2"/>
        <v/>
      </c>
      <c r="H99" s="6"/>
    </row>
    <row r="100" spans="5:8" x14ac:dyDescent="0.25">
      <c r="E100" t="str">
        <f t="shared" si="2"/>
        <v/>
      </c>
      <c r="H100" s="6"/>
    </row>
    <row r="101" spans="5:8" x14ac:dyDescent="0.25">
      <c r="E101" t="str">
        <f t="shared" ref="E101:E104" si="3">IF(F101&lt;&gt;"",ROW()-4,"")</f>
        <v/>
      </c>
      <c r="H101" s="6"/>
    </row>
    <row r="102" spans="5:8" x14ac:dyDescent="0.25">
      <c r="E102" t="str">
        <f t="shared" si="3"/>
        <v/>
      </c>
      <c r="H102" s="6"/>
    </row>
    <row r="103" spans="5:8" x14ac:dyDescent="0.25">
      <c r="E103" t="str">
        <f t="shared" si="3"/>
        <v/>
      </c>
      <c r="H103" s="6"/>
    </row>
    <row r="104" spans="5:8" x14ac:dyDescent="0.25">
      <c r="E104" t="str">
        <f t="shared" si="3"/>
        <v/>
      </c>
      <c r="H104" s="6"/>
    </row>
    <row r="105" spans="5:8" x14ac:dyDescent="0.25">
      <c r="E105" t="str">
        <f>IF(F105&lt;&gt;"",E104+1,"")</f>
        <v/>
      </c>
      <c r="H105" s="6"/>
    </row>
    <row r="106" spans="5:8" x14ac:dyDescent="0.25">
      <c r="H106" s="6"/>
    </row>
    <row r="107" spans="5:8" x14ac:dyDescent="0.25">
      <c r="H107" s="6"/>
    </row>
    <row r="108" spans="5:8" x14ac:dyDescent="0.25">
      <c r="H108" s="6"/>
    </row>
    <row r="109" spans="5:8" x14ac:dyDescent="0.25">
      <c r="H109" s="6"/>
    </row>
    <row r="110" spans="5:8" x14ac:dyDescent="0.25">
      <c r="H110" s="6"/>
    </row>
    <row r="111" spans="5:8" x14ac:dyDescent="0.25">
      <c r="H111" s="6"/>
    </row>
    <row r="112" spans="5:8" x14ac:dyDescent="0.25">
      <c r="H112" s="6"/>
    </row>
    <row r="113" spans="8:8" x14ac:dyDescent="0.25">
      <c r="H113" s="6"/>
    </row>
    <row r="114" spans="8:8" x14ac:dyDescent="0.25">
      <c r="H114" s="6"/>
    </row>
    <row r="115" spans="8:8" x14ac:dyDescent="0.25">
      <c r="H115" s="6"/>
    </row>
    <row r="116" spans="8:8" x14ac:dyDescent="0.25">
      <c r="H116" s="6"/>
    </row>
    <row r="117" spans="8:8" x14ac:dyDescent="0.25">
      <c r="H117" s="6"/>
    </row>
    <row r="118" spans="8:8" x14ac:dyDescent="0.25">
      <c r="H118" s="6"/>
    </row>
    <row r="119" spans="8:8" x14ac:dyDescent="0.25">
      <c r="H119" s="6"/>
    </row>
    <row r="120" spans="8:8" x14ac:dyDescent="0.25">
      <c r="H120" s="6"/>
    </row>
    <row r="121" spans="8:8" x14ac:dyDescent="0.25">
      <c r="H121" s="6"/>
    </row>
    <row r="122" spans="8:8" x14ac:dyDescent="0.25">
      <c r="H122" s="6"/>
    </row>
    <row r="123" spans="8:8" x14ac:dyDescent="0.25">
      <c r="H123" s="6"/>
    </row>
    <row r="124" spans="8:8" x14ac:dyDescent="0.25">
      <c r="H124" s="6"/>
    </row>
    <row r="125" spans="8:8" x14ac:dyDescent="0.25">
      <c r="H125" s="6"/>
    </row>
    <row r="126" spans="8:8" x14ac:dyDescent="0.25">
      <c r="H126" s="6"/>
    </row>
    <row r="127" spans="8:8" x14ac:dyDescent="0.25">
      <c r="H127" s="6"/>
    </row>
    <row r="128" spans="8:8" x14ac:dyDescent="0.25">
      <c r="H128" s="6"/>
    </row>
    <row r="129" spans="8:8" x14ac:dyDescent="0.25">
      <c r="H129" s="6"/>
    </row>
    <row r="130" spans="8:8" x14ac:dyDescent="0.25">
      <c r="H130" s="6"/>
    </row>
    <row r="131" spans="8:8" x14ac:dyDescent="0.25">
      <c r="H131" s="6"/>
    </row>
    <row r="132" spans="8:8" x14ac:dyDescent="0.25">
      <c r="H132" s="6"/>
    </row>
    <row r="133" spans="8:8" x14ac:dyDescent="0.25">
      <c r="H133" s="6"/>
    </row>
    <row r="134" spans="8:8" x14ac:dyDescent="0.25">
      <c r="H134" s="6"/>
    </row>
    <row r="135" spans="8:8" x14ac:dyDescent="0.25">
      <c r="H135" s="6"/>
    </row>
    <row r="136" spans="8:8" x14ac:dyDescent="0.25">
      <c r="H136" s="6"/>
    </row>
    <row r="137" spans="8:8" x14ac:dyDescent="0.25">
      <c r="H137" s="6"/>
    </row>
    <row r="138" spans="8:8" x14ac:dyDescent="0.25">
      <c r="H138" s="6"/>
    </row>
    <row r="139" spans="8:8" x14ac:dyDescent="0.25">
      <c r="H139" s="6"/>
    </row>
    <row r="140" spans="8:8" x14ac:dyDescent="0.25">
      <c r="H140" s="6"/>
    </row>
    <row r="141" spans="8:8" x14ac:dyDescent="0.25">
      <c r="H141" s="6"/>
    </row>
    <row r="142" spans="8:8" x14ac:dyDescent="0.25">
      <c r="H142" s="6"/>
    </row>
    <row r="143" spans="8:8" x14ac:dyDescent="0.25">
      <c r="H143" s="6"/>
    </row>
    <row r="144" spans="8:8" x14ac:dyDescent="0.25">
      <c r="H144" s="6"/>
    </row>
    <row r="145" spans="8:8" x14ac:dyDescent="0.25">
      <c r="H145" s="6"/>
    </row>
    <row r="146" spans="8:8" x14ac:dyDescent="0.25">
      <c r="H146" s="6"/>
    </row>
    <row r="147" spans="8:8" x14ac:dyDescent="0.25">
      <c r="H147" s="6"/>
    </row>
    <row r="148" spans="8:8" x14ac:dyDescent="0.25">
      <c r="H148" s="6"/>
    </row>
    <row r="149" spans="8:8" x14ac:dyDescent="0.25">
      <c r="H149" s="6"/>
    </row>
    <row r="150" spans="8:8" x14ac:dyDescent="0.25">
      <c r="H150" s="6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</sheetData>
  <mergeCells count="12">
    <mergeCell ref="K1:N1"/>
    <mergeCell ref="L3:N3"/>
    <mergeCell ref="K8:N8"/>
    <mergeCell ref="A53:F53"/>
    <mergeCell ref="K15:N15"/>
    <mergeCell ref="K24:N24"/>
    <mergeCell ref="K25:N29"/>
    <mergeCell ref="A25:C25"/>
    <mergeCell ref="E3:I3"/>
    <mergeCell ref="A1:F1"/>
    <mergeCell ref="A3:C3"/>
    <mergeCell ref="A15:C15"/>
  </mergeCells>
  <conditionalFormatting sqref="G5:G105">
    <cfRule type="containsText" dxfId="5" priority="1" operator="containsText" text="ON">
      <formula>NOT(ISERROR(SEARCH("ON",G5)))</formula>
    </cfRule>
    <cfRule type="containsText" dxfId="4" priority="2" operator="containsText" text="OFF">
      <formula>NOT(ISERROR(SEARCH("OFF",G5)))</formula>
    </cfRule>
  </conditionalFormatting>
  <dataValidations disablePrompts="1" count="3">
    <dataValidation type="list" allowBlank="1" showInputMessage="1" showErrorMessage="1" sqref="B17" xr:uid="{7A9EB4CB-8851-4E04-BDFB-7A6D7518800D}">
      <formula1>"100,200,300,400,500"</formula1>
    </dataValidation>
    <dataValidation type="list" allowBlank="1" showInputMessage="1" showErrorMessage="1" sqref="B18" xr:uid="{B19C832E-C618-48B0-BF20-203E3B691EEA}">
      <formula1>"2,4,6,8"</formula1>
    </dataValidation>
    <dataValidation type="list" allowBlank="1" showInputMessage="1" showErrorMessage="1" sqref="B19" xr:uid="{D3ADE607-88BF-4599-A6F6-A5854C6E902C}">
      <formula1>"1,2,3,4,5,6"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023E6-E079-4B3D-A9D1-5C550521512F}">
  <dimension ref="A1:S2977"/>
  <sheetViews>
    <sheetView topLeftCell="A7" workbookViewId="0">
      <selection activeCell="D1" sqref="D1:D1048576"/>
    </sheetView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0.76569476851851848</v>
      </c>
      <c r="B2" s="145" t="s">
        <v>2</v>
      </c>
      <c r="C2">
        <v>1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0.76569488425925925</v>
      </c>
      <c r="B3" s="145" t="s">
        <v>2</v>
      </c>
      <c r="C3">
        <v>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0.76569500000000001</v>
      </c>
      <c r="B4" s="145" t="s">
        <v>2</v>
      </c>
      <c r="C4">
        <v>3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0.76569511574074078</v>
      </c>
      <c r="B5" s="145" t="s">
        <v>2</v>
      </c>
      <c r="C5">
        <v>4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0.76569523148148144</v>
      </c>
      <c r="B6" s="145" t="s">
        <v>2</v>
      </c>
      <c r="C6">
        <v>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0.76569534722222221</v>
      </c>
      <c r="B7" s="145" t="s">
        <v>2</v>
      </c>
      <c r="C7">
        <v>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0.76569546296296298</v>
      </c>
      <c r="B8" s="145" t="s">
        <v>2</v>
      </c>
      <c r="C8">
        <v>7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0.76569557870370375</v>
      </c>
      <c r="B9" s="145" t="s">
        <v>2</v>
      </c>
      <c r="C9">
        <v>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0.76569569444444441</v>
      </c>
      <c r="B10" s="145" t="s">
        <v>2</v>
      </c>
      <c r="C10">
        <v>9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0.76569581018518518</v>
      </c>
      <c r="B11" s="145" t="s">
        <v>2</v>
      </c>
      <c r="C11">
        <v>10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0.76569592592592595</v>
      </c>
      <c r="B12" s="145" t="s">
        <v>2</v>
      </c>
      <c r="C12">
        <v>11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0.76569604166666672</v>
      </c>
      <c r="B13" s="145" t="s">
        <v>2</v>
      </c>
      <c r="C13">
        <v>12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0.76569615740740737</v>
      </c>
      <c r="B14" s="145" t="s">
        <v>2</v>
      </c>
      <c r="C14">
        <v>13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0.76569627314814814</v>
      </c>
      <c r="B15" s="145" t="s">
        <v>2</v>
      </c>
      <c r="C15">
        <v>14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0.76569638888888891</v>
      </c>
      <c r="B16" s="145" t="s">
        <v>2</v>
      </c>
      <c r="C16">
        <v>15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0.76569650462962968</v>
      </c>
      <c r="B17" s="145" t="s">
        <v>2</v>
      </c>
      <c r="C17">
        <v>16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0.76569662037037034</v>
      </c>
      <c r="B18" s="145" t="s">
        <v>2</v>
      </c>
      <c r="C18">
        <v>17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0.76569673611111111</v>
      </c>
      <c r="B19" s="145" t="s">
        <v>2</v>
      </c>
      <c r="C19">
        <v>18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0.76569685185185188</v>
      </c>
      <c r="B20" s="145" t="s">
        <v>2</v>
      </c>
      <c r="C20">
        <v>19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0.7656969560185185</v>
      </c>
      <c r="B21" s="145" t="s">
        <v>2</v>
      </c>
      <c r="C21">
        <v>20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0.76569707175925927</v>
      </c>
      <c r="B22" s="145" t="s">
        <v>2</v>
      </c>
      <c r="C22">
        <v>21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0.76569718750000004</v>
      </c>
      <c r="B23" s="145" t="s">
        <v>2</v>
      </c>
      <c r="C23">
        <v>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0.7656973032407407</v>
      </c>
      <c r="B24" s="145" t="s">
        <v>2</v>
      </c>
      <c r="C24">
        <v>23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0.76569741898148147</v>
      </c>
      <c r="B25" s="145" t="s">
        <v>2</v>
      </c>
      <c r="C25">
        <v>24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0.76569753472222224</v>
      </c>
      <c r="B26" s="145" t="s">
        <v>2</v>
      </c>
      <c r="C26">
        <v>25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0.76569765046296301</v>
      </c>
      <c r="B27" s="145" t="s">
        <v>2</v>
      </c>
      <c r="C27">
        <v>26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0.76569776620370367</v>
      </c>
      <c r="B28" s="145" t="s">
        <v>2</v>
      </c>
      <c r="C28">
        <v>27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0.76569788194444444</v>
      </c>
      <c r="B29" s="145" t="s">
        <v>2</v>
      </c>
      <c r="C29">
        <v>28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0.76569799768518521</v>
      </c>
      <c r="B30" s="145" t="s">
        <v>2</v>
      </c>
      <c r="C30">
        <v>29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0.76569812500000001</v>
      </c>
      <c r="B31" s="145" t="s">
        <v>2</v>
      </c>
      <c r="C31">
        <v>30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0.76569822916666663</v>
      </c>
      <c r="B32" s="145" t="s">
        <v>2</v>
      </c>
      <c r="C32">
        <v>31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0.7656983449074074</v>
      </c>
      <c r="B33" s="145" t="s">
        <v>2</v>
      </c>
      <c r="C33">
        <v>32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0.76569846064814817</v>
      </c>
      <c r="B34" s="145" t="s">
        <v>2</v>
      </c>
      <c r="C34">
        <v>33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0.76569857638888894</v>
      </c>
      <c r="B35" s="145" t="s">
        <v>2</v>
      </c>
      <c r="C35">
        <v>34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0.7656986921296296</v>
      </c>
      <c r="B36" s="145" t="s">
        <v>2</v>
      </c>
      <c r="C36">
        <v>35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0.76569880787037037</v>
      </c>
      <c r="B37" s="145" t="s">
        <v>2</v>
      </c>
      <c r="C37">
        <v>36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0.76569892361111114</v>
      </c>
      <c r="B38" s="145" t="s">
        <v>2</v>
      </c>
      <c r="C38">
        <v>37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0.76569903935185191</v>
      </c>
      <c r="B39" s="145" t="s">
        <v>2</v>
      </c>
      <c r="C39">
        <v>38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0.76569915509259256</v>
      </c>
      <c r="B40" s="145" t="s">
        <v>2</v>
      </c>
      <c r="C40">
        <v>39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0.76569927083333333</v>
      </c>
      <c r="B41" s="145" t="s">
        <v>2</v>
      </c>
      <c r="C41">
        <v>40</v>
      </c>
      <c r="D41">
        <v>0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0.7656993865740741</v>
      </c>
      <c r="B42" s="145" t="s">
        <v>2</v>
      </c>
      <c r="C42">
        <v>41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0.76569950231481476</v>
      </c>
      <c r="B43" s="145" t="s">
        <v>2</v>
      </c>
      <c r="C43">
        <v>42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0.76569961805555553</v>
      </c>
      <c r="B44" s="145" t="s">
        <v>2</v>
      </c>
      <c r="C44">
        <v>43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0.7656997337962963</v>
      </c>
      <c r="B45" s="145" t="s">
        <v>2</v>
      </c>
      <c r="C45">
        <v>44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0.76569984953703707</v>
      </c>
      <c r="B46" s="145" t="s">
        <v>2</v>
      </c>
      <c r="C46">
        <v>45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0.76569996527777773</v>
      </c>
      <c r="B47" s="145" t="s">
        <v>2</v>
      </c>
      <c r="C47">
        <v>46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0.7657000810185185</v>
      </c>
      <c r="B48" s="145" t="s">
        <v>2</v>
      </c>
      <c r="C48">
        <v>47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0.76570019675925927</v>
      </c>
      <c r="B49" s="145" t="s">
        <v>2</v>
      </c>
      <c r="C49">
        <v>48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0.76570031250000004</v>
      </c>
      <c r="B50" s="145" t="s">
        <v>2</v>
      </c>
      <c r="C50">
        <v>49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0.76570042824074069</v>
      </c>
      <c r="B51" s="145" t="s">
        <v>2</v>
      </c>
      <c r="C51">
        <v>50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0.76570054398148146</v>
      </c>
      <c r="B52" s="145" t="s">
        <v>2</v>
      </c>
      <c r="C52">
        <v>51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0.76570065972222223</v>
      </c>
      <c r="B53" s="145" t="s">
        <v>2</v>
      </c>
      <c r="C53">
        <v>52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0.765700775462963</v>
      </c>
      <c r="B54" s="145" t="s">
        <v>2</v>
      </c>
      <c r="C54">
        <v>53</v>
      </c>
      <c r="D54">
        <v>0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0.76570089120370366</v>
      </c>
      <c r="B55" s="145" t="s">
        <v>2</v>
      </c>
      <c r="C55">
        <v>54</v>
      </c>
      <c r="D55">
        <v>0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0.76570100694444443</v>
      </c>
      <c r="B56" s="145" t="s">
        <v>2</v>
      </c>
      <c r="C56">
        <v>55</v>
      </c>
      <c r="D56">
        <v>0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0.7657011226851852</v>
      </c>
      <c r="B57" s="145" t="s">
        <v>2</v>
      </c>
      <c r="C57">
        <v>56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0.76570123842592597</v>
      </c>
      <c r="B58" s="145" t="s">
        <v>2</v>
      </c>
      <c r="C58">
        <v>57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0.76570135416666663</v>
      </c>
      <c r="B59" s="145" t="s">
        <v>2</v>
      </c>
      <c r="C59">
        <v>58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0.76570146990740739</v>
      </c>
      <c r="B60" s="145" t="s">
        <v>2</v>
      </c>
      <c r="C60">
        <v>59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0.76570158564814816</v>
      </c>
      <c r="B61" s="145" t="s">
        <v>2</v>
      </c>
      <c r="C61">
        <v>60</v>
      </c>
      <c r="D61">
        <v>0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0.76570170138888893</v>
      </c>
      <c r="B62" s="145" t="s">
        <v>2</v>
      </c>
      <c r="C62">
        <v>61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0.76570181712962959</v>
      </c>
      <c r="B63" s="145" t="s">
        <v>2</v>
      </c>
      <c r="C63">
        <v>62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0.76570193287037036</v>
      </c>
      <c r="B64" s="145" t="s">
        <v>2</v>
      </c>
      <c r="C64">
        <v>63</v>
      </c>
      <c r="D64">
        <v>0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0.76570204861111113</v>
      </c>
      <c r="B65" s="145" t="s">
        <v>2</v>
      </c>
      <c r="C65">
        <v>64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0.7657021643518519</v>
      </c>
      <c r="B66" s="145" t="s">
        <v>2</v>
      </c>
      <c r="C66">
        <v>65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0.76570228009259256</v>
      </c>
      <c r="B67" s="145" t="s">
        <v>2</v>
      </c>
      <c r="C67">
        <v>66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0.76570239583333333</v>
      </c>
      <c r="B68" s="145" t="s">
        <v>2</v>
      </c>
      <c r="C68">
        <v>67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0.7657025115740741</v>
      </c>
      <c r="B69" s="145" t="s">
        <v>2</v>
      </c>
      <c r="C69">
        <v>68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0.76570262731481487</v>
      </c>
      <c r="B70" s="145" t="s">
        <v>2</v>
      </c>
      <c r="C70">
        <v>69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0.76570274305555552</v>
      </c>
      <c r="B71" s="145" t="s">
        <v>2</v>
      </c>
      <c r="C71">
        <v>70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0.76570297453703706</v>
      </c>
      <c r="B72" s="145" t="s">
        <v>2</v>
      </c>
      <c r="C72">
        <v>71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0.76570309027777783</v>
      </c>
      <c r="B73" s="145" t="s">
        <v>2</v>
      </c>
      <c r="C73">
        <v>72</v>
      </c>
      <c r="D73">
        <v>0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0.76570320601851849</v>
      </c>
      <c r="B74" s="145" t="s">
        <v>2</v>
      </c>
      <c r="C74">
        <v>73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0.76570332175925926</v>
      </c>
      <c r="B75" s="145" t="s">
        <v>2</v>
      </c>
      <c r="C75">
        <v>74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0.76570343750000003</v>
      </c>
      <c r="B76" s="145" t="s">
        <v>2</v>
      </c>
      <c r="C76">
        <v>75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0.76570355324074069</v>
      </c>
      <c r="B77" s="145" t="s">
        <v>2</v>
      </c>
      <c r="C77">
        <v>76</v>
      </c>
      <c r="D77">
        <v>0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0.76570366898148146</v>
      </c>
      <c r="B78" s="145" t="s">
        <v>2</v>
      </c>
      <c r="C78">
        <v>77</v>
      </c>
      <c r="D78">
        <v>0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0.76570378472222222</v>
      </c>
      <c r="B79" s="145" t="s">
        <v>2</v>
      </c>
      <c r="C79">
        <v>78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0.76570390046296299</v>
      </c>
      <c r="B80" s="145" t="s">
        <v>2</v>
      </c>
      <c r="C80">
        <v>79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0.76570401620370365</v>
      </c>
      <c r="B81" s="145" t="s">
        <v>2</v>
      </c>
      <c r="C81">
        <v>80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0.76570412037037039</v>
      </c>
      <c r="B82" s="145" t="s">
        <v>2</v>
      </c>
      <c r="C82">
        <v>81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0.76570423611111116</v>
      </c>
      <c r="B83" s="145" t="s">
        <v>2</v>
      </c>
      <c r="C83">
        <v>82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0.76570435185185182</v>
      </c>
      <c r="B84" s="145" t="s">
        <v>2</v>
      </c>
      <c r="C84">
        <v>83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0.76570446759259259</v>
      </c>
      <c r="B85" s="145" t="s">
        <v>2</v>
      </c>
      <c r="C85">
        <v>84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0.76570458333333336</v>
      </c>
      <c r="B86" s="145" t="s">
        <v>2</v>
      </c>
      <c r="C86">
        <v>85</v>
      </c>
      <c r="D86">
        <v>0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0.76570469907407412</v>
      </c>
      <c r="B87" s="145" t="s">
        <v>2</v>
      </c>
      <c r="C87">
        <v>86</v>
      </c>
      <c r="D87">
        <v>0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0.76570481481481478</v>
      </c>
      <c r="B88" s="145" t="s">
        <v>2</v>
      </c>
      <c r="C88">
        <v>87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0.76570493055555555</v>
      </c>
      <c r="B89" s="145" t="s">
        <v>2</v>
      </c>
      <c r="C89">
        <v>88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0.76570504629629632</v>
      </c>
      <c r="B90" s="145" t="s">
        <v>2</v>
      </c>
      <c r="C90">
        <v>89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0.76570516203703709</v>
      </c>
      <c r="B91" s="145" t="s">
        <v>2</v>
      </c>
      <c r="C91">
        <v>90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0.76570527777777775</v>
      </c>
      <c r="B92" s="145" t="s">
        <v>2</v>
      </c>
      <c r="C92">
        <v>91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0.76570539351851852</v>
      </c>
      <c r="B93" s="145" t="s">
        <v>2</v>
      </c>
      <c r="C93">
        <v>92</v>
      </c>
      <c r="D93">
        <v>0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0.76570550925925929</v>
      </c>
      <c r="B94" s="145" t="s">
        <v>2</v>
      </c>
      <c r="C94">
        <v>93</v>
      </c>
      <c r="D94">
        <v>0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0.76570562499999995</v>
      </c>
      <c r="B95" s="145" t="s">
        <v>2</v>
      </c>
      <c r="C95">
        <v>94</v>
      </c>
      <c r="D95">
        <v>0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0.76570574074074071</v>
      </c>
      <c r="B96" s="145" t="s">
        <v>2</v>
      </c>
      <c r="C96">
        <v>95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0.76570585648148148</v>
      </c>
      <c r="B97" s="145" t="s">
        <v>2</v>
      </c>
      <c r="C97">
        <v>96</v>
      </c>
      <c r="D97">
        <v>0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0.76570597222222225</v>
      </c>
      <c r="B98" s="145" t="s">
        <v>2</v>
      </c>
      <c r="C98">
        <v>97</v>
      </c>
      <c r="D98">
        <v>0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0.76570608796296291</v>
      </c>
      <c r="B99" s="145" t="s">
        <v>2</v>
      </c>
      <c r="C99">
        <v>98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0.76570620370370368</v>
      </c>
      <c r="B100" s="145" t="s">
        <v>2</v>
      </c>
      <c r="C100">
        <v>99</v>
      </c>
      <c r="D100">
        <v>0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0.76570631944444445</v>
      </c>
      <c r="B101" s="145" t="s">
        <v>2</v>
      </c>
      <c r="C101">
        <v>100</v>
      </c>
      <c r="D101">
        <v>0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0.76570643518518522</v>
      </c>
      <c r="B102" s="145" t="s">
        <v>2</v>
      </c>
      <c r="C102">
        <v>101</v>
      </c>
      <c r="D102">
        <v>0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0.76570655092592588</v>
      </c>
      <c r="B103" s="145" t="s">
        <v>2</v>
      </c>
      <c r="C103">
        <v>102</v>
      </c>
      <c r="D103">
        <v>0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0.76570666666666665</v>
      </c>
      <c r="B104" s="145" t="s">
        <v>2</v>
      </c>
      <c r="C104">
        <v>103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0.76570678240740742</v>
      </c>
      <c r="B105" s="145" t="s">
        <v>2</v>
      </c>
      <c r="C105">
        <v>104</v>
      </c>
      <c r="D105">
        <v>0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0.76570689814814819</v>
      </c>
      <c r="B106" s="145" t="s">
        <v>2</v>
      </c>
      <c r="C106">
        <v>105</v>
      </c>
      <c r="D106">
        <v>0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0.76570701388888884</v>
      </c>
      <c r="B107" s="145" t="s">
        <v>2</v>
      </c>
      <c r="C107">
        <v>106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0.76570712962962961</v>
      </c>
      <c r="B108" s="145" t="s">
        <v>2</v>
      </c>
      <c r="C108">
        <v>107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0.76570724537037038</v>
      </c>
      <c r="B109" s="145" t="s">
        <v>2</v>
      </c>
      <c r="C109">
        <v>108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0.76570736111111115</v>
      </c>
      <c r="B110" s="145" t="s">
        <v>2</v>
      </c>
      <c r="C110">
        <v>109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0.76570747685185181</v>
      </c>
      <c r="B111" s="145" t="s">
        <v>2</v>
      </c>
      <c r="C111">
        <v>110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0.76570759259259258</v>
      </c>
      <c r="B112" s="145" t="s">
        <v>2</v>
      </c>
      <c r="C112">
        <v>111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0.76570770833333335</v>
      </c>
      <c r="B113" s="145" t="s">
        <v>2</v>
      </c>
      <c r="C113">
        <v>112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0.76570782407407412</v>
      </c>
      <c r="B114" s="145" t="s">
        <v>2</v>
      </c>
      <c r="C114">
        <v>113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0.76570793981481478</v>
      </c>
      <c r="B115" s="145" t="s">
        <v>2</v>
      </c>
      <c r="C115">
        <v>114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0.76570805555555554</v>
      </c>
      <c r="B116" s="145" t="s">
        <v>2</v>
      </c>
      <c r="C116">
        <v>115</v>
      </c>
      <c r="D116">
        <v>0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0.76570817129629631</v>
      </c>
      <c r="B117" s="145" t="s">
        <v>2</v>
      </c>
      <c r="C117">
        <v>116</v>
      </c>
      <c r="D117">
        <v>0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0.76570828703703708</v>
      </c>
      <c r="B118" s="145" t="s">
        <v>2</v>
      </c>
      <c r="C118">
        <v>117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0.76570840277777774</v>
      </c>
      <c r="B119" s="145" t="s">
        <v>2</v>
      </c>
      <c r="C119">
        <v>118</v>
      </c>
      <c r="D119">
        <v>0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0.76570851851851851</v>
      </c>
      <c r="B120" s="145" t="s">
        <v>2</v>
      </c>
      <c r="C120">
        <v>119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0.76570864583333331</v>
      </c>
      <c r="B121" s="145" t="s">
        <v>2</v>
      </c>
      <c r="C121">
        <v>120</v>
      </c>
      <c r="D121">
        <v>0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0.76570875000000005</v>
      </c>
      <c r="B122" s="145" t="s">
        <v>2</v>
      </c>
      <c r="C122">
        <v>121</v>
      </c>
      <c r="D122">
        <v>0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0.76570886574074071</v>
      </c>
      <c r="B123" s="145" t="s">
        <v>2</v>
      </c>
      <c r="C123">
        <v>122</v>
      </c>
      <c r="D123">
        <v>0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0.76570898148148148</v>
      </c>
      <c r="B124" s="145" t="s">
        <v>2</v>
      </c>
      <c r="C124">
        <v>123</v>
      </c>
      <c r="D124">
        <v>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0.76570909722222225</v>
      </c>
      <c r="B125" s="145" t="s">
        <v>2</v>
      </c>
      <c r="C125">
        <v>124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0.76570921296296302</v>
      </c>
      <c r="B126" s="145" t="s">
        <v>2</v>
      </c>
      <c r="C126">
        <v>125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0.76570932870370367</v>
      </c>
      <c r="B127" s="145" t="s">
        <v>2</v>
      </c>
      <c r="C127">
        <v>126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0.76570944444444444</v>
      </c>
      <c r="B128" s="145" t="s">
        <v>2</v>
      </c>
      <c r="C128">
        <v>127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0.76570956018518521</v>
      </c>
      <c r="B129" s="145" t="s">
        <v>2</v>
      </c>
      <c r="C129">
        <v>128</v>
      </c>
      <c r="D129">
        <v>0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0.76570967592592598</v>
      </c>
      <c r="B130" s="145" t="s">
        <v>2</v>
      </c>
      <c r="C130">
        <v>129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0.76570979166666664</v>
      </c>
      <c r="B131" s="145" t="s">
        <v>2</v>
      </c>
      <c r="C131">
        <v>130</v>
      </c>
      <c r="D131">
        <v>0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0.76570990740740741</v>
      </c>
      <c r="B132" s="145" t="s">
        <v>2</v>
      </c>
      <c r="C132">
        <v>131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0.76571002314814818</v>
      </c>
      <c r="B133" s="145" t="s">
        <v>2</v>
      </c>
      <c r="C133">
        <v>132</v>
      </c>
      <c r="D133">
        <v>0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0.76571013888888884</v>
      </c>
      <c r="B134" s="145" t="s">
        <v>2</v>
      </c>
      <c r="C134">
        <v>133</v>
      </c>
      <c r="D134">
        <v>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0.76571025462962961</v>
      </c>
      <c r="B135" s="145" t="s">
        <v>2</v>
      </c>
      <c r="C135">
        <v>134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0.76571037037037037</v>
      </c>
      <c r="B136" s="145" t="s">
        <v>2</v>
      </c>
      <c r="C136">
        <v>135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0.76571048611111114</v>
      </c>
      <c r="B137" s="145" t="s">
        <v>2</v>
      </c>
      <c r="C137">
        <v>136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0.7657106018518518</v>
      </c>
      <c r="B138" s="145" t="s">
        <v>2</v>
      </c>
      <c r="C138">
        <v>137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0.76571071759259257</v>
      </c>
      <c r="B139" s="145" t="s">
        <v>2</v>
      </c>
      <c r="C139">
        <v>138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0.76571083333333334</v>
      </c>
      <c r="B140" s="145" t="s">
        <v>2</v>
      </c>
      <c r="C140">
        <v>139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0.76571094907407411</v>
      </c>
      <c r="B141" s="145" t="s">
        <v>2</v>
      </c>
      <c r="C141">
        <v>140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0.76571106481481477</v>
      </c>
      <c r="B142" s="145" t="s">
        <v>2</v>
      </c>
      <c r="C142">
        <v>141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0.7657111689814815</v>
      </c>
      <c r="B143" s="145" t="s">
        <v>2</v>
      </c>
      <c r="C143">
        <v>142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0.76571128472222227</v>
      </c>
      <c r="B144" s="145" t="s">
        <v>2</v>
      </c>
      <c r="C144">
        <v>143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0.76571140046296293</v>
      </c>
      <c r="B145" s="145" t="s">
        <v>2</v>
      </c>
      <c r="C145">
        <v>144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0.7657115162037037</v>
      </c>
      <c r="B146" s="145" t="s">
        <v>2</v>
      </c>
      <c r="C146">
        <v>145</v>
      </c>
      <c r="D146">
        <v>0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0.76571163194444447</v>
      </c>
      <c r="B147" s="145" t="s">
        <v>2</v>
      </c>
      <c r="C147">
        <v>146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0.76571174768518524</v>
      </c>
      <c r="B148" s="145" t="s">
        <v>2</v>
      </c>
      <c r="C148">
        <v>147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0.7657118634259259</v>
      </c>
      <c r="B149" s="145" t="s">
        <v>2</v>
      </c>
      <c r="C149">
        <v>148</v>
      </c>
      <c r="D149">
        <v>0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0.76571197916666667</v>
      </c>
      <c r="B150" s="145" t="s">
        <v>2</v>
      </c>
      <c r="C150">
        <v>149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0.76571209490740744</v>
      </c>
      <c r="B151" s="145" t="s">
        <v>2</v>
      </c>
      <c r="C151">
        <v>150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0.76571221064814809</v>
      </c>
      <c r="B152" s="145" t="s">
        <v>2</v>
      </c>
      <c r="C152">
        <v>151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0.76571232638888886</v>
      </c>
      <c r="B153" s="145" t="s">
        <v>2</v>
      </c>
      <c r="C153">
        <v>152</v>
      </c>
      <c r="D153">
        <v>0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0.76571244212962963</v>
      </c>
      <c r="B154" s="145" t="s">
        <v>2</v>
      </c>
      <c r="C154">
        <v>153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0.7657125578703704</v>
      </c>
      <c r="B155" s="145" t="s">
        <v>2</v>
      </c>
      <c r="C155">
        <v>154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0.76571267361111106</v>
      </c>
      <c r="B156" s="145" t="s">
        <v>2</v>
      </c>
      <c r="C156">
        <v>155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0.76571278935185183</v>
      </c>
      <c r="B157" s="145" t="s">
        <v>2</v>
      </c>
      <c r="C157">
        <v>156</v>
      </c>
      <c r="D157">
        <v>0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0.7657129050925926</v>
      </c>
      <c r="B158" s="145" t="s">
        <v>2</v>
      </c>
      <c r="C158">
        <v>157</v>
      </c>
      <c r="D158">
        <v>0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0.76571302083333337</v>
      </c>
      <c r="B159" s="145" t="s">
        <v>2</v>
      </c>
      <c r="C159">
        <v>158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0.76571313657407403</v>
      </c>
      <c r="B160" s="145" t="s">
        <v>2</v>
      </c>
      <c r="C160">
        <v>159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0.7657132523148148</v>
      </c>
      <c r="B161" s="145" t="s">
        <v>2</v>
      </c>
      <c r="C161">
        <v>160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0.76571336805555557</v>
      </c>
      <c r="B162" s="145" t="s">
        <v>2</v>
      </c>
      <c r="C162">
        <v>161</v>
      </c>
      <c r="D162">
        <v>0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0.76571348379629633</v>
      </c>
      <c r="B163" s="145" t="s">
        <v>2</v>
      </c>
      <c r="C163">
        <v>162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0.76571359953703699</v>
      </c>
      <c r="B164" s="145" t="s">
        <v>2</v>
      </c>
      <c r="C164">
        <v>163</v>
      </c>
      <c r="D164">
        <v>0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0.76571371527777776</v>
      </c>
      <c r="B165" s="145" t="s">
        <v>2</v>
      </c>
      <c r="C165">
        <v>164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0.76571383101851853</v>
      </c>
      <c r="B166" s="145" t="s">
        <v>2</v>
      </c>
      <c r="C166">
        <v>165</v>
      </c>
      <c r="D166">
        <v>0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0.7657139467592593</v>
      </c>
      <c r="B167" s="145" t="s">
        <v>2</v>
      </c>
      <c r="C167">
        <v>166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0.76571406249999996</v>
      </c>
      <c r="B168" s="145" t="s">
        <v>2</v>
      </c>
      <c r="C168">
        <v>167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0.76571417824074073</v>
      </c>
      <c r="B169" s="145" t="s">
        <v>2</v>
      </c>
      <c r="C169">
        <v>168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0.7657142939814815</v>
      </c>
      <c r="B170" s="145" t="s">
        <v>2</v>
      </c>
      <c r="C170">
        <v>169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0.76571452546296292</v>
      </c>
      <c r="B171" s="145" t="s">
        <v>2</v>
      </c>
      <c r="C171">
        <v>170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0.76571464120370369</v>
      </c>
      <c r="B172" s="145" t="s">
        <v>2</v>
      </c>
      <c r="C172">
        <v>171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0.76571475694444446</v>
      </c>
      <c r="B173" s="145" t="s">
        <v>2</v>
      </c>
      <c r="C173">
        <v>172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0.76571487268518523</v>
      </c>
      <c r="B174" s="145" t="s">
        <v>2</v>
      </c>
      <c r="C174">
        <v>173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0.76571498842592589</v>
      </c>
      <c r="B175" s="145" t="s">
        <v>2</v>
      </c>
      <c r="C175">
        <v>174</v>
      </c>
      <c r="D175">
        <v>0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0.76571510416666666</v>
      </c>
      <c r="B176" s="145" t="s">
        <v>2</v>
      </c>
      <c r="C176">
        <v>175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0.76571521990740743</v>
      </c>
      <c r="B177" s="145" t="s">
        <v>2</v>
      </c>
      <c r="C177">
        <v>176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0.7657153356481482</v>
      </c>
      <c r="B178" s="145" t="s">
        <v>2</v>
      </c>
      <c r="C178">
        <v>177</v>
      </c>
      <c r="D178">
        <v>0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0.76571545138888886</v>
      </c>
      <c r="B179" s="145" t="s">
        <v>2</v>
      </c>
      <c r="C179">
        <v>178</v>
      </c>
      <c r="D179">
        <v>0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0.76571556712962963</v>
      </c>
      <c r="B180" s="145" t="s">
        <v>2</v>
      </c>
      <c r="C180">
        <v>179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0.7657156828703704</v>
      </c>
      <c r="B181" s="145" t="s">
        <v>2</v>
      </c>
      <c r="C181">
        <v>180</v>
      </c>
      <c r="D181">
        <v>0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0.76571579861111116</v>
      </c>
      <c r="B182" s="145" t="s">
        <v>2</v>
      </c>
      <c r="C182">
        <v>181</v>
      </c>
      <c r="D182">
        <v>0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0.76571591435185182</v>
      </c>
      <c r="B183" s="145" t="s">
        <v>2</v>
      </c>
      <c r="C183">
        <v>182</v>
      </c>
      <c r="D183">
        <v>0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0.76571603009259259</v>
      </c>
      <c r="B184" s="145" t="s">
        <v>2</v>
      </c>
      <c r="C184">
        <v>183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0.76571614583333336</v>
      </c>
      <c r="B185" s="145" t="s">
        <v>2</v>
      </c>
      <c r="C185">
        <v>184</v>
      </c>
      <c r="D185">
        <v>0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0.76571626157407402</v>
      </c>
      <c r="B186" s="145" t="s">
        <v>2</v>
      </c>
      <c r="C186">
        <v>185</v>
      </c>
      <c r="D186">
        <v>0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0.76571637731481479</v>
      </c>
      <c r="B187" s="145" t="s">
        <v>165</v>
      </c>
      <c r="C187">
        <v>186</v>
      </c>
      <c r="D187">
        <v>1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0.76571649305555556</v>
      </c>
      <c r="B188" s="145" t="s">
        <v>165</v>
      </c>
      <c r="C188">
        <v>187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0.76571660879629633</v>
      </c>
      <c r="B189" s="145" t="s">
        <v>165</v>
      </c>
      <c r="C189">
        <v>188</v>
      </c>
      <c r="D189">
        <v>1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0.76571672453703699</v>
      </c>
      <c r="B190" s="145" t="s">
        <v>2</v>
      </c>
      <c r="C190">
        <v>189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0.76571684027777775</v>
      </c>
      <c r="B191" s="145" t="s">
        <v>165</v>
      </c>
      <c r="C191">
        <v>190</v>
      </c>
      <c r="D191">
        <v>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0.76571695601851852</v>
      </c>
      <c r="B192" s="145" t="s">
        <v>165</v>
      </c>
      <c r="C192">
        <v>191</v>
      </c>
      <c r="D192">
        <v>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0.76571707175925929</v>
      </c>
      <c r="B193" s="145" t="s">
        <v>165</v>
      </c>
      <c r="C193">
        <v>192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0.76571718749999995</v>
      </c>
      <c r="B194" s="145" t="s">
        <v>165</v>
      </c>
      <c r="C194">
        <v>193</v>
      </c>
      <c r="D194">
        <v>1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0.76571730324074072</v>
      </c>
      <c r="B195" s="145" t="s">
        <v>165</v>
      </c>
      <c r="C195">
        <v>194</v>
      </c>
      <c r="D195">
        <v>1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0.76571741898148149</v>
      </c>
      <c r="B196" s="145" t="s">
        <v>2</v>
      </c>
      <c r="C196">
        <v>195</v>
      </c>
      <c r="D196">
        <v>0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0.76571753472222226</v>
      </c>
      <c r="B197" s="145" t="s">
        <v>165</v>
      </c>
      <c r="C197">
        <v>196</v>
      </c>
      <c r="D197">
        <v>1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0.76571765046296292</v>
      </c>
      <c r="B198" s="145" t="s">
        <v>165</v>
      </c>
      <c r="C198">
        <v>197</v>
      </c>
      <c r="D198">
        <v>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0.76571776620370369</v>
      </c>
      <c r="B199" s="145" t="s">
        <v>165</v>
      </c>
      <c r="C199">
        <v>198</v>
      </c>
      <c r="D199">
        <v>1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0.76571788194444446</v>
      </c>
      <c r="B200" s="145" t="s">
        <v>165</v>
      </c>
      <c r="C200">
        <v>199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0.76571799768518523</v>
      </c>
      <c r="B201" s="145" t="s">
        <v>165</v>
      </c>
      <c r="C201">
        <v>200</v>
      </c>
      <c r="D201">
        <v>1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0.76571811342592588</v>
      </c>
      <c r="B202" s="145" t="s">
        <v>2</v>
      </c>
      <c r="C202">
        <v>201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0.76571821759259262</v>
      </c>
      <c r="B203" s="145" t="s">
        <v>165</v>
      </c>
      <c r="C203">
        <v>202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0.76571833333333328</v>
      </c>
      <c r="B204" s="145" t="s">
        <v>165</v>
      </c>
      <c r="C204">
        <v>203</v>
      </c>
      <c r="D204">
        <v>1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0.76571844907407405</v>
      </c>
      <c r="B205" s="145" t="s">
        <v>165</v>
      </c>
      <c r="C205">
        <v>204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0.76571856481481482</v>
      </c>
      <c r="B206" s="145" t="s">
        <v>165</v>
      </c>
      <c r="C206">
        <v>205</v>
      </c>
      <c r="D206">
        <v>1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0.76571868055555559</v>
      </c>
      <c r="B207" s="145" t="s">
        <v>165</v>
      </c>
      <c r="C207">
        <v>206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0.76571879629629624</v>
      </c>
      <c r="B208" s="145" t="s">
        <v>2</v>
      </c>
      <c r="C208">
        <v>207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0.76571891203703701</v>
      </c>
      <c r="B209" s="145" t="s">
        <v>165</v>
      </c>
      <c r="C209">
        <v>208</v>
      </c>
      <c r="D209">
        <v>1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0.76571902777777778</v>
      </c>
      <c r="B210" s="145" t="s">
        <v>165</v>
      </c>
      <c r="C210">
        <v>209</v>
      </c>
      <c r="D210">
        <v>1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0.76571915509259258</v>
      </c>
      <c r="B211" s="145" t="s">
        <v>165</v>
      </c>
      <c r="C211">
        <v>210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0.76571925925925921</v>
      </c>
      <c r="B212" s="145" t="s">
        <v>165</v>
      </c>
      <c r="C212">
        <v>211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0.76571937499999998</v>
      </c>
      <c r="B213" s="145" t="s">
        <v>165</v>
      </c>
      <c r="C213">
        <v>212</v>
      </c>
      <c r="D213">
        <v>1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0.76571949074074075</v>
      </c>
      <c r="B214" s="145" t="s">
        <v>2</v>
      </c>
      <c r="C214">
        <v>213</v>
      </c>
      <c r="D214">
        <v>0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0.76571960648148152</v>
      </c>
      <c r="B215" s="145" t="s">
        <v>165</v>
      </c>
      <c r="C215">
        <v>214</v>
      </c>
      <c r="D215">
        <v>1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0.76571972222222218</v>
      </c>
      <c r="B216" s="145" t="s">
        <v>165</v>
      </c>
      <c r="C216">
        <v>215</v>
      </c>
      <c r="D216">
        <v>1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0.76571983796296295</v>
      </c>
      <c r="B217" s="145" t="s">
        <v>165</v>
      </c>
      <c r="C217">
        <v>216</v>
      </c>
      <c r="D217">
        <v>1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0.76571995370370372</v>
      </c>
      <c r="B218" s="145" t="s">
        <v>165</v>
      </c>
      <c r="C218">
        <v>217</v>
      </c>
      <c r="D218">
        <v>1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0.76572006944444448</v>
      </c>
      <c r="B219" s="145" t="s">
        <v>165</v>
      </c>
      <c r="C219">
        <v>218</v>
      </c>
      <c r="D219">
        <v>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0.76572018518518514</v>
      </c>
      <c r="B220" s="145" t="s">
        <v>2</v>
      </c>
      <c r="C220">
        <v>219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0.76572030092592591</v>
      </c>
      <c r="B221" s="145" t="s">
        <v>165</v>
      </c>
      <c r="C221">
        <v>220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0.76572041666666668</v>
      </c>
      <c r="B222" s="145" t="s">
        <v>165</v>
      </c>
      <c r="C222">
        <v>221</v>
      </c>
      <c r="D222">
        <v>1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0.76572053240740745</v>
      </c>
      <c r="B223" s="145" t="s">
        <v>165</v>
      </c>
      <c r="C223">
        <v>222</v>
      </c>
      <c r="D223">
        <v>1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0.76572064814814811</v>
      </c>
      <c r="B224" s="145" t="s">
        <v>165</v>
      </c>
      <c r="C224">
        <v>223</v>
      </c>
      <c r="D224">
        <v>1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0.76572076388888888</v>
      </c>
      <c r="B225" s="145" t="s">
        <v>165</v>
      </c>
      <c r="C225">
        <v>224</v>
      </c>
      <c r="D225">
        <v>1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0.76572087962962965</v>
      </c>
      <c r="B226" s="145" t="s">
        <v>2</v>
      </c>
      <c r="C226">
        <v>225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0.76572099537037042</v>
      </c>
      <c r="B227" s="145" t="s">
        <v>165</v>
      </c>
      <c r="C227">
        <v>226</v>
      </c>
      <c r="D227">
        <v>1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0.76572111111111107</v>
      </c>
      <c r="B228" s="145" t="s">
        <v>165</v>
      </c>
      <c r="C228">
        <v>227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0.76572122685185184</v>
      </c>
      <c r="B229" s="145" t="s">
        <v>165</v>
      </c>
      <c r="C229">
        <v>228</v>
      </c>
      <c r="D229">
        <v>1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0.76572134259259261</v>
      </c>
      <c r="B230" s="145" t="s">
        <v>165</v>
      </c>
      <c r="C230">
        <v>229</v>
      </c>
      <c r="D230">
        <v>1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0.76572145833333338</v>
      </c>
      <c r="B231" s="145" t="s">
        <v>165</v>
      </c>
      <c r="C231">
        <v>230</v>
      </c>
      <c r="D231">
        <v>1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0.76572157407407404</v>
      </c>
      <c r="B232" s="145" t="s">
        <v>2</v>
      </c>
      <c r="C232">
        <v>231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0.76572168981481481</v>
      </c>
      <c r="B233" s="145" t="s">
        <v>165</v>
      </c>
      <c r="C233">
        <v>232</v>
      </c>
      <c r="D233">
        <v>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0.76572180555555558</v>
      </c>
      <c r="B234" s="145" t="s">
        <v>165</v>
      </c>
      <c r="C234">
        <v>233</v>
      </c>
      <c r="D234">
        <v>1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0.76572192129629635</v>
      </c>
      <c r="B235" s="145" t="s">
        <v>165</v>
      </c>
      <c r="C235">
        <v>234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0.76572203703703701</v>
      </c>
      <c r="B236" s="145" t="s">
        <v>165</v>
      </c>
      <c r="C236">
        <v>235</v>
      </c>
      <c r="D236">
        <v>1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0.76572215277777778</v>
      </c>
      <c r="B237" s="145" t="s">
        <v>165</v>
      </c>
      <c r="C237">
        <v>236</v>
      </c>
      <c r="D237">
        <v>1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0.76572226851851855</v>
      </c>
      <c r="B238" s="145" t="s">
        <v>2</v>
      </c>
      <c r="C238">
        <v>237</v>
      </c>
      <c r="D238">
        <v>0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0.76572238425925931</v>
      </c>
      <c r="B239" s="145" t="s">
        <v>165</v>
      </c>
      <c r="C239">
        <v>238</v>
      </c>
      <c r="D239">
        <v>1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0.76572249999999997</v>
      </c>
      <c r="B240" s="145" t="s">
        <v>165</v>
      </c>
      <c r="C240">
        <v>239</v>
      </c>
      <c r="D240">
        <v>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0.76572261574074074</v>
      </c>
      <c r="B241" s="145" t="s">
        <v>165</v>
      </c>
      <c r="C241">
        <v>240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0.76572273148148151</v>
      </c>
      <c r="B242" s="145" t="s">
        <v>165</v>
      </c>
      <c r="C242">
        <v>241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0.76572284722222217</v>
      </c>
      <c r="B243" s="145" t="s">
        <v>165</v>
      </c>
      <c r="C243">
        <v>242</v>
      </c>
      <c r="D243">
        <v>1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0.76572296296296294</v>
      </c>
      <c r="B244" s="145" t="s">
        <v>2</v>
      </c>
      <c r="C244">
        <v>243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0.76572307870370371</v>
      </c>
      <c r="B245" s="145" t="s">
        <v>165</v>
      </c>
      <c r="C245">
        <v>244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0.76572319444444448</v>
      </c>
      <c r="B246" s="145" t="s">
        <v>165</v>
      </c>
      <c r="C246">
        <v>245</v>
      </c>
      <c r="D246">
        <v>1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0.76572331018518514</v>
      </c>
      <c r="B247" s="145" t="s">
        <v>165</v>
      </c>
      <c r="C247">
        <v>246</v>
      </c>
      <c r="D247">
        <v>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0.7657234259259259</v>
      </c>
      <c r="B248" s="145" t="s">
        <v>165</v>
      </c>
      <c r="C248">
        <v>247</v>
      </c>
      <c r="D248">
        <v>1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0.76572354166666667</v>
      </c>
      <c r="B249" s="145" t="s">
        <v>165</v>
      </c>
      <c r="C249">
        <v>248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0.76572365740740744</v>
      </c>
      <c r="B250" s="145" t="s">
        <v>2</v>
      </c>
      <c r="C250">
        <v>249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0.7657237731481481</v>
      </c>
      <c r="B251" s="145" t="s">
        <v>165</v>
      </c>
      <c r="C251">
        <v>250</v>
      </c>
      <c r="D251">
        <v>1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0.76572388888888887</v>
      </c>
      <c r="B252" s="145" t="s">
        <v>165</v>
      </c>
      <c r="C252">
        <v>251</v>
      </c>
      <c r="D252">
        <v>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0.76572400462962964</v>
      </c>
      <c r="B253" s="145" t="s">
        <v>165</v>
      </c>
      <c r="C253">
        <v>252</v>
      </c>
      <c r="D253">
        <v>1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0.76572412037037041</v>
      </c>
      <c r="B254" s="145" t="s">
        <v>165</v>
      </c>
      <c r="C254">
        <v>253</v>
      </c>
      <c r="D254">
        <v>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0.76572423611111107</v>
      </c>
      <c r="B255" s="145" t="s">
        <v>165</v>
      </c>
      <c r="C255">
        <v>254</v>
      </c>
      <c r="D255">
        <v>1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0.76572435185185184</v>
      </c>
      <c r="B256" s="145" t="s">
        <v>2</v>
      </c>
      <c r="C256">
        <v>255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0.76572446759259261</v>
      </c>
      <c r="B257" s="145" t="s">
        <v>165</v>
      </c>
      <c r="C257">
        <v>256</v>
      </c>
      <c r="D257">
        <v>1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0.76572458333333338</v>
      </c>
      <c r="B258" s="145" t="s">
        <v>165</v>
      </c>
      <c r="C258">
        <v>257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0.76572469907407403</v>
      </c>
      <c r="B259" s="145" t="s">
        <v>165</v>
      </c>
      <c r="C259">
        <v>258</v>
      </c>
      <c r="D259">
        <v>1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0.7657248148148148</v>
      </c>
      <c r="B260" s="145" t="s">
        <v>165</v>
      </c>
      <c r="C260">
        <v>259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0.76572493055555557</v>
      </c>
      <c r="B261" s="145" t="s">
        <v>165</v>
      </c>
      <c r="C261">
        <v>260</v>
      </c>
      <c r="D261">
        <v>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0.7657250347222222</v>
      </c>
      <c r="B262" s="145" t="s">
        <v>2</v>
      </c>
      <c r="C262">
        <v>261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0.76572515046296297</v>
      </c>
      <c r="B263" s="145" t="s">
        <v>165</v>
      </c>
      <c r="C263">
        <v>262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0.76572526620370374</v>
      </c>
      <c r="B264" s="145" t="s">
        <v>165</v>
      </c>
      <c r="C264">
        <v>263</v>
      </c>
      <c r="D264">
        <v>1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0.76572538194444439</v>
      </c>
      <c r="B265" s="145" t="s">
        <v>165</v>
      </c>
      <c r="C265">
        <v>264</v>
      </c>
      <c r="D265">
        <v>1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0.76572549768518516</v>
      </c>
      <c r="B266" s="145" t="s">
        <v>165</v>
      </c>
      <c r="C266">
        <v>265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0.76572561342592593</v>
      </c>
      <c r="B267" s="145" t="s">
        <v>165</v>
      </c>
      <c r="C267">
        <v>266</v>
      </c>
      <c r="D267">
        <v>1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0.7657257291666667</v>
      </c>
      <c r="B268" s="145" t="s">
        <v>2</v>
      </c>
      <c r="C268">
        <v>267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0.76572584490740736</v>
      </c>
      <c r="B269" s="145" t="s">
        <v>165</v>
      </c>
      <c r="C269">
        <v>268</v>
      </c>
      <c r="D269">
        <v>1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0.7657260763888889</v>
      </c>
      <c r="B270" s="145" t="s">
        <v>165</v>
      </c>
      <c r="C270">
        <v>269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0.76572619212962967</v>
      </c>
      <c r="B271" s="145" t="s">
        <v>165</v>
      </c>
      <c r="C271">
        <v>270</v>
      </c>
      <c r="D271">
        <v>1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0.76572630787037033</v>
      </c>
      <c r="B272" s="145" t="s">
        <v>165</v>
      </c>
      <c r="C272">
        <v>271</v>
      </c>
      <c r="D272">
        <v>1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0.7657264236111111</v>
      </c>
      <c r="B273" s="145" t="s">
        <v>165</v>
      </c>
      <c r="C273">
        <v>272</v>
      </c>
      <c r="D273">
        <v>1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0.76572653935185186</v>
      </c>
      <c r="B274" s="145" t="s">
        <v>165</v>
      </c>
      <c r="C274">
        <v>273</v>
      </c>
      <c r="D274">
        <v>1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0.76572665509259263</v>
      </c>
      <c r="B275" s="145" t="s">
        <v>165</v>
      </c>
      <c r="C275">
        <v>274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0.76572677083333329</v>
      </c>
      <c r="B276" s="145" t="s">
        <v>165</v>
      </c>
      <c r="C276">
        <v>275</v>
      </c>
      <c r="D276">
        <v>1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0.76572688657407406</v>
      </c>
      <c r="B277" s="145" t="s">
        <v>165</v>
      </c>
      <c r="C277">
        <v>276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0.76572700231481483</v>
      </c>
      <c r="B278" s="145" t="s">
        <v>165</v>
      </c>
      <c r="C278">
        <v>277</v>
      </c>
      <c r="D278">
        <v>1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0.7657271180555556</v>
      </c>
      <c r="B279" s="145" t="s">
        <v>165</v>
      </c>
      <c r="C279">
        <v>278</v>
      </c>
      <c r="D279">
        <v>1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0.76572723379629626</v>
      </c>
      <c r="B280" s="145" t="s">
        <v>165</v>
      </c>
      <c r="C280">
        <v>279</v>
      </c>
      <c r="D280">
        <v>1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0.76572734953703703</v>
      </c>
      <c r="B281" s="145" t="s">
        <v>165</v>
      </c>
      <c r="C281">
        <v>280</v>
      </c>
      <c r="D281">
        <v>1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0.7657274652777778</v>
      </c>
      <c r="B282" s="145" t="s">
        <v>165</v>
      </c>
      <c r="C282">
        <v>281</v>
      </c>
      <c r="D282">
        <v>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0.76572758101851857</v>
      </c>
      <c r="B283" s="145" t="s">
        <v>165</v>
      </c>
      <c r="C283">
        <v>282</v>
      </c>
      <c r="D283">
        <v>1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0.76572769675925922</v>
      </c>
      <c r="B284" s="145" t="s">
        <v>165</v>
      </c>
      <c r="C284">
        <v>283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0.76572781249999999</v>
      </c>
      <c r="B285" s="145" t="s">
        <v>165</v>
      </c>
      <c r="C285">
        <v>284</v>
      </c>
      <c r="D285">
        <v>1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0.76572792824074076</v>
      </c>
      <c r="B286" s="145" t="s">
        <v>165</v>
      </c>
      <c r="C286">
        <v>285</v>
      </c>
      <c r="D286">
        <v>1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0.76572804398148153</v>
      </c>
      <c r="B287" s="145" t="s">
        <v>165</v>
      </c>
      <c r="C287">
        <v>286</v>
      </c>
      <c r="D287">
        <v>1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0.76572815972222219</v>
      </c>
      <c r="B288" s="145" t="s">
        <v>165</v>
      </c>
      <c r="C288">
        <v>287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0.76572827546296296</v>
      </c>
      <c r="B289" s="145" t="s">
        <v>165</v>
      </c>
      <c r="C289">
        <v>288</v>
      </c>
      <c r="D289">
        <v>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0.76572839120370373</v>
      </c>
      <c r="B290" s="145" t="s">
        <v>165</v>
      </c>
      <c r="C290">
        <v>289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0.7657285069444445</v>
      </c>
      <c r="B291" s="145" t="s">
        <v>165</v>
      </c>
      <c r="C291">
        <v>290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0.76572862268518516</v>
      </c>
      <c r="B292" s="145" t="s">
        <v>165</v>
      </c>
      <c r="C292">
        <v>291</v>
      </c>
      <c r="D292">
        <v>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0.76572873842592593</v>
      </c>
      <c r="B293" s="145" t="s">
        <v>165</v>
      </c>
      <c r="C293">
        <v>292</v>
      </c>
      <c r="D293">
        <v>1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0.76572885416666669</v>
      </c>
      <c r="B294" s="145" t="s">
        <v>165</v>
      </c>
      <c r="C294">
        <v>293</v>
      </c>
      <c r="D294">
        <v>1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0.76572896990740735</v>
      </c>
      <c r="B295" s="145" t="s">
        <v>165</v>
      </c>
      <c r="C295">
        <v>294</v>
      </c>
      <c r="D295">
        <v>1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0.76572908564814812</v>
      </c>
      <c r="B296" s="145" t="s">
        <v>165</v>
      </c>
      <c r="C296">
        <v>295</v>
      </c>
      <c r="D296">
        <v>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0.76572920138888889</v>
      </c>
      <c r="B297" s="145" t="s">
        <v>165</v>
      </c>
      <c r="C297">
        <v>296</v>
      </c>
      <c r="D297">
        <v>1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0.76572931712962966</v>
      </c>
      <c r="B298" s="145" t="s">
        <v>165</v>
      </c>
      <c r="C298">
        <v>297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0.76572943287037032</v>
      </c>
      <c r="B299" s="145" t="s">
        <v>165</v>
      </c>
      <c r="C299">
        <v>298</v>
      </c>
      <c r="D299">
        <v>1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0.76572954861111109</v>
      </c>
      <c r="B300" s="145" t="s">
        <v>165</v>
      </c>
      <c r="C300">
        <v>299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0.76572967592592589</v>
      </c>
      <c r="B301" s="145" t="s">
        <v>165</v>
      </c>
      <c r="C301">
        <v>300</v>
      </c>
      <c r="D301">
        <v>1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0.76572978009259263</v>
      </c>
      <c r="B302" s="145" t="s">
        <v>165</v>
      </c>
      <c r="C302">
        <v>301</v>
      </c>
      <c r="D302">
        <v>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0.76572989583333329</v>
      </c>
      <c r="B303" s="145" t="s">
        <v>165</v>
      </c>
      <c r="C303">
        <v>302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0.76573001157407405</v>
      </c>
      <c r="B304" s="145" t="s">
        <v>165</v>
      </c>
      <c r="C304">
        <v>303</v>
      </c>
      <c r="D304">
        <v>1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0.76573012731481482</v>
      </c>
      <c r="B305" s="145" t="s">
        <v>165</v>
      </c>
      <c r="C305">
        <v>304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0.76573024305555559</v>
      </c>
      <c r="B306" s="145" t="s">
        <v>165</v>
      </c>
      <c r="C306">
        <v>305</v>
      </c>
      <c r="D306">
        <v>1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0.76573035879629625</v>
      </c>
      <c r="B307" s="145" t="s">
        <v>165</v>
      </c>
      <c r="C307">
        <v>306</v>
      </c>
      <c r="D307">
        <v>1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0.76573047453703702</v>
      </c>
      <c r="B308" s="145" t="s">
        <v>165</v>
      </c>
      <c r="C308">
        <v>307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0.76573059027777779</v>
      </c>
      <c r="B309" s="145" t="s">
        <v>165</v>
      </c>
      <c r="C309">
        <v>308</v>
      </c>
      <c r="D309">
        <v>1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0.76573070601851856</v>
      </c>
      <c r="B310" s="145" t="s">
        <v>165</v>
      </c>
      <c r="C310">
        <v>309</v>
      </c>
      <c r="D310">
        <v>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0.76573082175925922</v>
      </c>
      <c r="B311" s="145" t="s">
        <v>165</v>
      </c>
      <c r="C311">
        <v>310</v>
      </c>
      <c r="D311">
        <v>1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0.76573093749999999</v>
      </c>
      <c r="B312" s="145" t="s">
        <v>165</v>
      </c>
      <c r="C312">
        <v>311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0.76573105324074076</v>
      </c>
      <c r="B313" s="145" t="s">
        <v>165</v>
      </c>
      <c r="C313">
        <v>312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0.76573116898148152</v>
      </c>
      <c r="B314" s="145" t="s">
        <v>165</v>
      </c>
      <c r="C314">
        <v>313</v>
      </c>
      <c r="D314">
        <v>1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0.76573128472222218</v>
      </c>
      <c r="B315" s="145" t="s">
        <v>165</v>
      </c>
      <c r="C315">
        <v>314</v>
      </c>
      <c r="D315">
        <v>1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0.76573140046296295</v>
      </c>
      <c r="B316" s="145" t="s">
        <v>165</v>
      </c>
      <c r="C316">
        <v>315</v>
      </c>
      <c r="D316">
        <v>1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0.76573151620370372</v>
      </c>
      <c r="B317" s="145" t="s">
        <v>165</v>
      </c>
      <c r="C317">
        <v>316</v>
      </c>
      <c r="D317">
        <v>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0.76573163194444449</v>
      </c>
      <c r="B318" s="145" t="s">
        <v>165</v>
      </c>
      <c r="C318">
        <v>317</v>
      </c>
      <c r="D318">
        <v>1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0.76573174768518515</v>
      </c>
      <c r="B319" s="145" t="s">
        <v>165</v>
      </c>
      <c r="C319">
        <v>318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0.76573186342592592</v>
      </c>
      <c r="B320" s="145" t="s">
        <v>165</v>
      </c>
      <c r="C320">
        <v>319</v>
      </c>
      <c r="D320">
        <v>1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0.76573197916666669</v>
      </c>
      <c r="B321" s="145" t="s">
        <v>165</v>
      </c>
      <c r="C321">
        <v>320</v>
      </c>
      <c r="D321">
        <v>1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0.76573208333333331</v>
      </c>
      <c r="B322" s="145" t="s">
        <v>165</v>
      </c>
      <c r="C322">
        <v>321</v>
      </c>
      <c r="D322">
        <v>1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0.76573219907407408</v>
      </c>
      <c r="B323" s="145" t="s">
        <v>165</v>
      </c>
      <c r="C323">
        <v>322</v>
      </c>
      <c r="D323">
        <v>1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0.76573231481481485</v>
      </c>
      <c r="B324" s="145" t="s">
        <v>165</v>
      </c>
      <c r="C324">
        <v>323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0.76573243055555551</v>
      </c>
      <c r="B325" s="145" t="s">
        <v>165</v>
      </c>
      <c r="C325">
        <v>324</v>
      </c>
      <c r="D325">
        <v>1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0.76573254629629628</v>
      </c>
      <c r="B326" s="145" t="s">
        <v>165</v>
      </c>
      <c r="C326">
        <v>325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0.76573266203703705</v>
      </c>
      <c r="B327" s="145" t="s">
        <v>165</v>
      </c>
      <c r="C327">
        <v>326</v>
      </c>
      <c r="D327">
        <v>1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0.76573277777777782</v>
      </c>
      <c r="B328" s="145" t="s">
        <v>165</v>
      </c>
      <c r="C328">
        <v>327</v>
      </c>
      <c r="D328">
        <v>1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0.76573289351851848</v>
      </c>
      <c r="B329" s="145" t="s">
        <v>165</v>
      </c>
      <c r="C329">
        <v>328</v>
      </c>
      <c r="D329">
        <v>1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0.76573300925925925</v>
      </c>
      <c r="B330" s="145" t="s">
        <v>165</v>
      </c>
      <c r="C330">
        <v>329</v>
      </c>
      <c r="D330">
        <v>1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0.76573312500000001</v>
      </c>
      <c r="B331" s="145" t="s">
        <v>165</v>
      </c>
      <c r="C331">
        <v>330</v>
      </c>
      <c r="D331">
        <v>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0.76573324074074078</v>
      </c>
      <c r="B332" s="145" t="s">
        <v>165</v>
      </c>
      <c r="C332">
        <v>331</v>
      </c>
      <c r="D332">
        <v>1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0.76573335648148144</v>
      </c>
      <c r="B333" s="145" t="s">
        <v>165</v>
      </c>
      <c r="C333">
        <v>332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0.76573347222222221</v>
      </c>
      <c r="B334" s="145" t="s">
        <v>165</v>
      </c>
      <c r="C334">
        <v>333</v>
      </c>
      <c r="D334">
        <v>1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0.76573358796296298</v>
      </c>
      <c r="B335" s="145" t="s">
        <v>165</v>
      </c>
      <c r="C335">
        <v>334</v>
      </c>
      <c r="D335">
        <v>1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0.76573370370370375</v>
      </c>
      <c r="B336" s="145" t="s">
        <v>165</v>
      </c>
      <c r="C336">
        <v>335</v>
      </c>
      <c r="D336">
        <v>1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0.76573381944444441</v>
      </c>
      <c r="B337" s="145" t="s">
        <v>165</v>
      </c>
      <c r="C337">
        <v>336</v>
      </c>
      <c r="D337">
        <v>1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0.76573393518518518</v>
      </c>
      <c r="B338" s="145" t="s">
        <v>165</v>
      </c>
      <c r="C338">
        <v>337</v>
      </c>
      <c r="D338">
        <v>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0.76573405092592595</v>
      </c>
      <c r="B339" s="145" t="s">
        <v>165</v>
      </c>
      <c r="C339">
        <v>338</v>
      </c>
      <c r="D339">
        <v>1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0.76573416666666672</v>
      </c>
      <c r="B340" s="145" t="s">
        <v>165</v>
      </c>
      <c r="C340">
        <v>339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0.76573428240740737</v>
      </c>
      <c r="B341" s="145" t="s">
        <v>165</v>
      </c>
      <c r="C341">
        <v>340</v>
      </c>
      <c r="D341">
        <v>1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0.76573439814814814</v>
      </c>
      <c r="B342" s="145" t="s">
        <v>165</v>
      </c>
      <c r="C342">
        <v>341</v>
      </c>
      <c r="D342">
        <v>1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0.76573451388888891</v>
      </c>
      <c r="B343" s="145" t="s">
        <v>165</v>
      </c>
      <c r="C343">
        <v>342</v>
      </c>
      <c r="D343">
        <v>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0.76573462962962968</v>
      </c>
      <c r="B344" s="145" t="s">
        <v>165</v>
      </c>
      <c r="C344">
        <v>343</v>
      </c>
      <c r="D344">
        <v>1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0.76573474537037034</v>
      </c>
      <c r="B345" s="145" t="s">
        <v>165</v>
      </c>
      <c r="C345">
        <v>344</v>
      </c>
      <c r="D345">
        <v>1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0.76573486111111111</v>
      </c>
      <c r="B346" s="145" t="s">
        <v>165</v>
      </c>
      <c r="C346">
        <v>345</v>
      </c>
      <c r="D346">
        <v>1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0.76573497685185188</v>
      </c>
      <c r="B347" s="145" t="s">
        <v>165</v>
      </c>
      <c r="C347">
        <v>346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0.76573509259259265</v>
      </c>
      <c r="B348" s="145" t="s">
        <v>165</v>
      </c>
      <c r="C348">
        <v>347</v>
      </c>
      <c r="D348">
        <v>1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0.76573520833333331</v>
      </c>
      <c r="B349" s="145" t="s">
        <v>165</v>
      </c>
      <c r="C349">
        <v>348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0.76573532407407408</v>
      </c>
      <c r="B350" s="145" t="s">
        <v>165</v>
      </c>
      <c r="C350">
        <v>349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0.76573543981481484</v>
      </c>
      <c r="B351" s="145" t="s">
        <v>165</v>
      </c>
      <c r="C351">
        <v>350</v>
      </c>
      <c r="D351">
        <v>1</v>
      </c>
      <c r="E351">
        <v>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0.7657355555555555</v>
      </c>
      <c r="B352" s="145" t="s">
        <v>165</v>
      </c>
      <c r="C352">
        <v>351</v>
      </c>
      <c r="D352">
        <v>1</v>
      </c>
      <c r="E352">
        <v>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0.76573567129629627</v>
      </c>
      <c r="B353" s="145" t="s">
        <v>165</v>
      </c>
      <c r="C353">
        <v>352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0.76573578703703704</v>
      </c>
      <c r="B354" s="145" t="s">
        <v>165</v>
      </c>
      <c r="C354">
        <v>353</v>
      </c>
      <c r="D354">
        <v>1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0.76573590277777781</v>
      </c>
      <c r="B355" s="145" t="s">
        <v>165</v>
      </c>
      <c r="C355">
        <v>354</v>
      </c>
      <c r="D355">
        <v>1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0.76573601851851847</v>
      </c>
      <c r="B356" s="145" t="s">
        <v>165</v>
      </c>
      <c r="C356">
        <v>355</v>
      </c>
      <c r="D356">
        <v>1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0.76573613425925924</v>
      </c>
      <c r="B357" s="145" t="s">
        <v>165</v>
      </c>
      <c r="C357">
        <v>356</v>
      </c>
      <c r="D357">
        <v>1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0.76573625000000001</v>
      </c>
      <c r="B358" s="145" t="s">
        <v>165</v>
      </c>
      <c r="C358">
        <v>357</v>
      </c>
      <c r="D358">
        <v>1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0.76573636574074078</v>
      </c>
      <c r="B359" s="145" t="s">
        <v>2</v>
      </c>
      <c r="C359">
        <v>358</v>
      </c>
      <c r="D359">
        <v>0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0.76573648148148143</v>
      </c>
      <c r="B360" s="145" t="s">
        <v>165</v>
      </c>
      <c r="C360">
        <v>359</v>
      </c>
      <c r="D360">
        <v>1</v>
      </c>
      <c r="E360">
        <v>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0.7657365972222222</v>
      </c>
      <c r="B361" s="145" t="s">
        <v>165</v>
      </c>
      <c r="C361">
        <v>360</v>
      </c>
      <c r="D361">
        <v>1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0.76573671296296297</v>
      </c>
      <c r="B362" s="145" t="s">
        <v>165</v>
      </c>
      <c r="C362">
        <v>361</v>
      </c>
      <c r="D362">
        <v>1</v>
      </c>
      <c r="E362">
        <v>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0.76573682870370374</v>
      </c>
      <c r="B363" s="145" t="s">
        <v>165</v>
      </c>
      <c r="C363">
        <v>362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0.7657369444444444</v>
      </c>
      <c r="B364" s="145" t="s">
        <v>165</v>
      </c>
      <c r="C364">
        <v>363</v>
      </c>
      <c r="D364">
        <v>1</v>
      </c>
      <c r="E364">
        <v>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0.76573706018518517</v>
      </c>
      <c r="B365" s="145" t="s">
        <v>2</v>
      </c>
      <c r="C365">
        <v>364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0.76573717592592594</v>
      </c>
      <c r="B366" s="145" t="s">
        <v>165</v>
      </c>
      <c r="C366">
        <v>365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0.76573729166666671</v>
      </c>
      <c r="B367" s="145" t="s">
        <v>165</v>
      </c>
      <c r="C367">
        <v>366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0.76573740740740737</v>
      </c>
      <c r="B368" s="145" t="s">
        <v>165</v>
      </c>
      <c r="C368">
        <v>367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0.76573763888888891</v>
      </c>
      <c r="B369" s="145" t="s">
        <v>165</v>
      </c>
      <c r="C369">
        <v>368</v>
      </c>
      <c r="D369">
        <v>1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0.76573775462962967</v>
      </c>
      <c r="B370" s="145" t="s">
        <v>2</v>
      </c>
      <c r="C370">
        <v>369</v>
      </c>
      <c r="D370">
        <v>0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0.76573787037037033</v>
      </c>
      <c r="B371" s="145" t="s">
        <v>165</v>
      </c>
      <c r="C371">
        <v>370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0.7657379861111111</v>
      </c>
      <c r="B372" s="145" t="s">
        <v>165</v>
      </c>
      <c r="C372">
        <v>371</v>
      </c>
      <c r="D372">
        <v>1</v>
      </c>
      <c r="E372">
        <v>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0.76573810185185187</v>
      </c>
      <c r="B373" s="145" t="s">
        <v>165</v>
      </c>
      <c r="C373">
        <v>372</v>
      </c>
      <c r="D373">
        <v>1</v>
      </c>
      <c r="E373">
        <v>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0.76573821759259264</v>
      </c>
      <c r="B374" s="145" t="s">
        <v>165</v>
      </c>
      <c r="C374">
        <v>373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0.7657383333333333</v>
      </c>
      <c r="B375" s="145" t="s">
        <v>165</v>
      </c>
      <c r="C375">
        <v>374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0.76573844907407407</v>
      </c>
      <c r="B376" s="145" t="s">
        <v>2</v>
      </c>
      <c r="C376">
        <v>375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0.76573856481481484</v>
      </c>
      <c r="B377" s="145" t="s">
        <v>165</v>
      </c>
      <c r="C377">
        <v>376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0.76573868055555561</v>
      </c>
      <c r="B378" s="145" t="s">
        <v>165</v>
      </c>
      <c r="C378">
        <v>377</v>
      </c>
      <c r="D378">
        <v>1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0.76573879629629626</v>
      </c>
      <c r="B379" s="145" t="s">
        <v>165</v>
      </c>
      <c r="C379">
        <v>378</v>
      </c>
      <c r="D379">
        <v>1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0.76573891203703703</v>
      </c>
      <c r="B380" s="145" t="s">
        <v>165</v>
      </c>
      <c r="C380">
        <v>379</v>
      </c>
      <c r="D380">
        <v>1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0.7657390277777778</v>
      </c>
      <c r="B381" s="145" t="s">
        <v>165</v>
      </c>
      <c r="C381">
        <v>380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0.76573914351851857</v>
      </c>
      <c r="B382" s="145" t="s">
        <v>2</v>
      </c>
      <c r="C382">
        <v>381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0.7657392476851852</v>
      </c>
      <c r="B383" s="145" t="s">
        <v>165</v>
      </c>
      <c r="C383">
        <v>382</v>
      </c>
      <c r="D383">
        <v>1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0.76573936342592597</v>
      </c>
      <c r="B384" s="145" t="s">
        <v>165</v>
      </c>
      <c r="C384">
        <v>383</v>
      </c>
      <c r="D384">
        <v>1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0.76573947916666663</v>
      </c>
      <c r="B385" s="145" t="s">
        <v>165</v>
      </c>
      <c r="C385">
        <v>384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0.76573959490740739</v>
      </c>
      <c r="B386" s="145" t="s">
        <v>165</v>
      </c>
      <c r="C386">
        <v>385</v>
      </c>
      <c r="D386">
        <v>1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0.76573971064814816</v>
      </c>
      <c r="B387" s="145" t="s">
        <v>165</v>
      </c>
      <c r="C387">
        <v>386</v>
      </c>
      <c r="D387">
        <v>1</v>
      </c>
      <c r="E387">
        <v>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0.76573982638888893</v>
      </c>
      <c r="B388" s="145" t="s">
        <v>2</v>
      </c>
      <c r="C388">
        <v>387</v>
      </c>
      <c r="D388">
        <v>0</v>
      </c>
      <c r="E388">
        <v>1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0.76573994212962959</v>
      </c>
      <c r="B389" s="145" t="s">
        <v>165</v>
      </c>
      <c r="C389">
        <v>388</v>
      </c>
      <c r="D389">
        <v>1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0.76574005787037036</v>
      </c>
      <c r="B390" s="145" t="s">
        <v>165</v>
      </c>
      <c r="C390">
        <v>389</v>
      </c>
      <c r="D390">
        <v>1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0.76574018518518516</v>
      </c>
      <c r="B391" s="145" t="s">
        <v>165</v>
      </c>
      <c r="C391">
        <v>390</v>
      </c>
      <c r="D391">
        <v>1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0.7657402893518519</v>
      </c>
      <c r="B392" s="145" t="s">
        <v>165</v>
      </c>
      <c r="C392">
        <v>391</v>
      </c>
      <c r="D392">
        <v>1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0.76574040509259256</v>
      </c>
      <c r="B393" s="145" t="s">
        <v>165</v>
      </c>
      <c r="C393">
        <v>392</v>
      </c>
      <c r="D393">
        <v>1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0.76574052083333333</v>
      </c>
      <c r="B394" s="145" t="s">
        <v>2</v>
      </c>
      <c r="C394">
        <v>393</v>
      </c>
      <c r="D394">
        <v>0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0.7657406365740741</v>
      </c>
      <c r="B395" s="145" t="s">
        <v>165</v>
      </c>
      <c r="C395">
        <v>394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0.76574075231481487</v>
      </c>
      <c r="B396" s="145" t="s">
        <v>165</v>
      </c>
      <c r="C396">
        <v>395</v>
      </c>
      <c r="D396">
        <v>1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0.76574086805555552</v>
      </c>
      <c r="B397" s="145" t="s">
        <v>165</v>
      </c>
      <c r="C397">
        <v>396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0.76574098379629629</v>
      </c>
      <c r="B398" s="145" t="s">
        <v>165</v>
      </c>
      <c r="C398">
        <v>397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0.76574109953703706</v>
      </c>
      <c r="B399" s="145" t="s">
        <v>165</v>
      </c>
      <c r="C399">
        <v>398</v>
      </c>
      <c r="D399">
        <v>1</v>
      </c>
      <c r="E399">
        <v>1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0.76574121527777783</v>
      </c>
      <c r="B400" s="145" t="s">
        <v>2</v>
      </c>
      <c r="C400">
        <v>399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0.76574133101851849</v>
      </c>
      <c r="B401" s="145" t="s">
        <v>165</v>
      </c>
      <c r="C401">
        <v>400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0.76574144675925926</v>
      </c>
      <c r="B402" s="145" t="s">
        <v>165</v>
      </c>
      <c r="C402">
        <v>401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0.76574156250000003</v>
      </c>
      <c r="B403" s="145" t="s">
        <v>165</v>
      </c>
      <c r="C403">
        <v>402</v>
      </c>
      <c r="D403">
        <v>1</v>
      </c>
      <c r="E403">
        <v>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0.76574167824074069</v>
      </c>
      <c r="B404" s="145" t="s">
        <v>165</v>
      </c>
      <c r="C404">
        <v>403</v>
      </c>
      <c r="D404">
        <v>1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0.76574179398148146</v>
      </c>
      <c r="B405" s="145" t="s">
        <v>165</v>
      </c>
      <c r="C405">
        <v>404</v>
      </c>
      <c r="D405">
        <v>1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0.76574190972222222</v>
      </c>
      <c r="B406" s="145" t="s">
        <v>2</v>
      </c>
      <c r="C406">
        <v>405</v>
      </c>
      <c r="D406">
        <v>0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0.76574202546296299</v>
      </c>
      <c r="B407" s="145" t="s">
        <v>165</v>
      </c>
      <c r="C407">
        <v>406</v>
      </c>
      <c r="D407">
        <v>1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0.76574214120370365</v>
      </c>
      <c r="B408" s="145" t="s">
        <v>165</v>
      </c>
      <c r="C408">
        <v>407</v>
      </c>
      <c r="D408">
        <v>1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0.76574225694444442</v>
      </c>
      <c r="B409" s="145" t="s">
        <v>165</v>
      </c>
      <c r="C409">
        <v>408</v>
      </c>
      <c r="D409">
        <v>1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0.76574237268518519</v>
      </c>
      <c r="B410" s="145" t="s">
        <v>165</v>
      </c>
      <c r="C410">
        <v>409</v>
      </c>
      <c r="D410">
        <v>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0.76574248842592596</v>
      </c>
      <c r="B411" s="145" t="s">
        <v>165</v>
      </c>
      <c r="C411">
        <v>410</v>
      </c>
      <c r="D411">
        <v>1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0.76574260416666662</v>
      </c>
      <c r="B412" s="145" t="s">
        <v>2</v>
      </c>
      <c r="C412">
        <v>411</v>
      </c>
      <c r="D412">
        <v>0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0.76574271990740739</v>
      </c>
      <c r="B413" s="145" t="s">
        <v>165</v>
      </c>
      <c r="C413">
        <v>412</v>
      </c>
      <c r="D413">
        <v>1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0.76574283564814816</v>
      </c>
      <c r="B414" s="145" t="s">
        <v>165</v>
      </c>
      <c r="C414">
        <v>413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0.76574295138888893</v>
      </c>
      <c r="B415" s="145" t="s">
        <v>165</v>
      </c>
      <c r="C415">
        <v>414</v>
      </c>
      <c r="D415">
        <v>1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0.76574306712962958</v>
      </c>
      <c r="B416" s="145" t="s">
        <v>165</v>
      </c>
      <c r="C416">
        <v>415</v>
      </c>
      <c r="D416">
        <v>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0.76574318287037035</v>
      </c>
      <c r="B417" s="145" t="s">
        <v>165</v>
      </c>
      <c r="C417">
        <v>416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0.76574329861111112</v>
      </c>
      <c r="B418" s="145" t="s">
        <v>2</v>
      </c>
      <c r="C418">
        <v>417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0.76574341435185189</v>
      </c>
      <c r="B419" s="145" t="s">
        <v>165</v>
      </c>
      <c r="C419">
        <v>418</v>
      </c>
      <c r="D419">
        <v>1</v>
      </c>
      <c r="E419">
        <v>1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0.76574353009259255</v>
      </c>
      <c r="B420" s="145" t="s">
        <v>165</v>
      </c>
      <c r="C420">
        <v>419</v>
      </c>
      <c r="D420">
        <v>1</v>
      </c>
      <c r="E420">
        <v>1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0.76574364583333332</v>
      </c>
      <c r="B421" s="145" t="s">
        <v>165</v>
      </c>
      <c r="C421">
        <v>420</v>
      </c>
      <c r="D421">
        <v>1</v>
      </c>
      <c r="E421">
        <v>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0.76574376157407409</v>
      </c>
      <c r="B422" s="145" t="s">
        <v>165</v>
      </c>
      <c r="C422">
        <v>421</v>
      </c>
      <c r="D422">
        <v>1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0.76574387731481486</v>
      </c>
      <c r="B423" s="145" t="s">
        <v>165</v>
      </c>
      <c r="C423">
        <v>422</v>
      </c>
      <c r="D423">
        <v>1</v>
      </c>
      <c r="E423">
        <v>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0.76574399305555552</v>
      </c>
      <c r="B424" s="145" t="s">
        <v>2</v>
      </c>
      <c r="C424">
        <v>423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0.76574410879629629</v>
      </c>
      <c r="B425" s="145" t="s">
        <v>165</v>
      </c>
      <c r="C425">
        <v>424</v>
      </c>
      <c r="D425">
        <v>1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0.76574422453703705</v>
      </c>
      <c r="B426" s="145" t="s">
        <v>165</v>
      </c>
      <c r="C426">
        <v>425</v>
      </c>
      <c r="D426">
        <v>1</v>
      </c>
      <c r="E426">
        <v>1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0.76574434027777782</v>
      </c>
      <c r="B427" s="145" t="s">
        <v>165</v>
      </c>
      <c r="C427">
        <v>426</v>
      </c>
      <c r="D427">
        <v>1</v>
      </c>
      <c r="E427">
        <v>1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0.76574445601851848</v>
      </c>
      <c r="B428" s="145" t="s">
        <v>165</v>
      </c>
      <c r="C428">
        <v>427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0.76574457175925925</v>
      </c>
      <c r="B429" s="145" t="s">
        <v>165</v>
      </c>
      <c r="C429">
        <v>428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0.76574468750000002</v>
      </c>
      <c r="B430" s="145" t="s">
        <v>2</v>
      </c>
      <c r="C430">
        <v>429</v>
      </c>
      <c r="D430">
        <v>0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0.76574480324074079</v>
      </c>
      <c r="B431" s="145" t="s">
        <v>165</v>
      </c>
      <c r="C431">
        <v>430</v>
      </c>
      <c r="D431">
        <v>1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0.76574491898148145</v>
      </c>
      <c r="B432" s="145" t="s">
        <v>165</v>
      </c>
      <c r="C432">
        <v>431</v>
      </c>
      <c r="D432">
        <v>1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0.76574503472222222</v>
      </c>
      <c r="B433" s="145" t="s">
        <v>165</v>
      </c>
      <c r="C433">
        <v>432</v>
      </c>
      <c r="D433">
        <v>1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0.76574515046296299</v>
      </c>
      <c r="B434" s="145" t="s">
        <v>165</v>
      </c>
      <c r="C434">
        <v>433</v>
      </c>
      <c r="D434">
        <v>1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0.76574526620370376</v>
      </c>
      <c r="B435" s="145" t="s">
        <v>165</v>
      </c>
      <c r="C435">
        <v>434</v>
      </c>
      <c r="D435">
        <v>1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0.76574538194444441</v>
      </c>
      <c r="B436" s="145" t="s">
        <v>2</v>
      </c>
      <c r="C436">
        <v>435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0.76574549768518518</v>
      </c>
      <c r="B437" s="145" t="s">
        <v>165</v>
      </c>
      <c r="C437">
        <v>436</v>
      </c>
      <c r="D437">
        <v>1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0.76574561342592595</v>
      </c>
      <c r="B438" s="145" t="s">
        <v>165</v>
      </c>
      <c r="C438">
        <v>437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0.76574572916666672</v>
      </c>
      <c r="B439" s="145" t="s">
        <v>165</v>
      </c>
      <c r="C439">
        <v>438</v>
      </c>
      <c r="D439">
        <v>1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0.76574584490740738</v>
      </c>
      <c r="B440" s="145" t="s">
        <v>165</v>
      </c>
      <c r="C440">
        <v>439</v>
      </c>
      <c r="D440">
        <v>1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0.76574596064814815</v>
      </c>
      <c r="B441" s="145" t="s">
        <v>165</v>
      </c>
      <c r="C441">
        <v>440</v>
      </c>
      <c r="D441">
        <v>1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0.76574607638888892</v>
      </c>
      <c r="B442" s="145" t="s">
        <v>2</v>
      </c>
      <c r="C442">
        <v>441</v>
      </c>
      <c r="D442">
        <v>0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0.76574619212962958</v>
      </c>
      <c r="B443" s="145" t="s">
        <v>165</v>
      </c>
      <c r="C443">
        <v>442</v>
      </c>
      <c r="D443">
        <v>1</v>
      </c>
      <c r="E443">
        <v>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0.76574630787037035</v>
      </c>
      <c r="B444" s="145" t="s">
        <v>165</v>
      </c>
      <c r="C444">
        <v>443</v>
      </c>
      <c r="D444">
        <v>1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0.76574642361111112</v>
      </c>
      <c r="B445" s="145" t="s">
        <v>165</v>
      </c>
      <c r="C445">
        <v>444</v>
      </c>
      <c r="D445">
        <v>1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0.76574652777777774</v>
      </c>
      <c r="B446" s="145" t="s">
        <v>165</v>
      </c>
      <c r="C446">
        <v>445</v>
      </c>
      <c r="D446">
        <v>1</v>
      </c>
      <c r="E446">
        <v>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0.76574664351851851</v>
      </c>
      <c r="B447" s="145" t="s">
        <v>165</v>
      </c>
      <c r="C447">
        <v>446</v>
      </c>
      <c r="D447">
        <v>1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0.76574675925925928</v>
      </c>
      <c r="B448" s="145" t="s">
        <v>2</v>
      </c>
      <c r="C448">
        <v>447</v>
      </c>
      <c r="D448">
        <v>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0.76574687500000005</v>
      </c>
      <c r="B449" s="145" t="s">
        <v>165</v>
      </c>
      <c r="C449">
        <v>448</v>
      </c>
      <c r="D449">
        <v>1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0.76574699074074071</v>
      </c>
      <c r="B450" s="145" t="s">
        <v>165</v>
      </c>
      <c r="C450">
        <v>449</v>
      </c>
      <c r="D450">
        <v>1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0.76574710648148148</v>
      </c>
      <c r="B451" s="145" t="s">
        <v>165</v>
      </c>
      <c r="C451">
        <v>450</v>
      </c>
      <c r="D451">
        <v>1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0.76574722222222225</v>
      </c>
      <c r="B452" s="145" t="s">
        <v>165</v>
      </c>
      <c r="C452">
        <v>451</v>
      </c>
      <c r="D452">
        <v>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0.76574733796296302</v>
      </c>
      <c r="B453" s="145" t="s">
        <v>165</v>
      </c>
      <c r="C453">
        <v>452</v>
      </c>
      <c r="D453">
        <v>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0.76574745370370367</v>
      </c>
      <c r="B454" s="145" t="s">
        <v>2</v>
      </c>
      <c r="C454">
        <v>453</v>
      </c>
      <c r="D454">
        <v>0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0.76574756944444444</v>
      </c>
      <c r="B455" s="145" t="s">
        <v>165</v>
      </c>
      <c r="C455">
        <v>454</v>
      </c>
      <c r="D455">
        <v>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0.76574768518518521</v>
      </c>
      <c r="B456" s="145" t="s">
        <v>165</v>
      </c>
      <c r="C456">
        <v>455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0.76574780092592598</v>
      </c>
      <c r="B457" s="145" t="s">
        <v>165</v>
      </c>
      <c r="C457">
        <v>456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0.76574791666666664</v>
      </c>
      <c r="B458" s="145" t="s">
        <v>165</v>
      </c>
      <c r="C458">
        <v>457</v>
      </c>
      <c r="D458">
        <v>1</v>
      </c>
      <c r="E458">
        <v>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0.76574803240740741</v>
      </c>
      <c r="B459" s="145" t="s">
        <v>165</v>
      </c>
      <c r="C459">
        <v>458</v>
      </c>
      <c r="D459">
        <v>1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0.76574814814814818</v>
      </c>
      <c r="B460" s="145" t="s">
        <v>2</v>
      </c>
      <c r="C460">
        <v>459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0.76574826388888884</v>
      </c>
      <c r="B461" s="145" t="s">
        <v>165</v>
      </c>
      <c r="C461">
        <v>460</v>
      </c>
      <c r="D461">
        <v>1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0.76574837962962961</v>
      </c>
      <c r="B462" s="145" t="s">
        <v>165</v>
      </c>
      <c r="C462">
        <v>461</v>
      </c>
      <c r="D462">
        <v>1</v>
      </c>
      <c r="E462">
        <v>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0.76574849537037037</v>
      </c>
      <c r="B463" s="145" t="s">
        <v>165</v>
      </c>
      <c r="C463">
        <v>462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0.76574861111111114</v>
      </c>
      <c r="B464" s="145" t="s">
        <v>165</v>
      </c>
      <c r="C464">
        <v>463</v>
      </c>
      <c r="D464">
        <v>1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0.7657487268518518</v>
      </c>
      <c r="B465" s="145" t="s">
        <v>165</v>
      </c>
      <c r="C465">
        <v>464</v>
      </c>
      <c r="D465">
        <v>1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0.76574884259259257</v>
      </c>
      <c r="B466" s="145" t="s">
        <v>2</v>
      </c>
      <c r="C466">
        <v>465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0.76574895833333334</v>
      </c>
      <c r="B467" s="145" t="s">
        <v>165</v>
      </c>
      <c r="C467">
        <v>466</v>
      </c>
      <c r="D467">
        <v>1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0.76574918981481477</v>
      </c>
      <c r="B468" s="145" t="s">
        <v>165</v>
      </c>
      <c r="C468">
        <v>467</v>
      </c>
      <c r="D468">
        <v>1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0.76574930555555554</v>
      </c>
      <c r="B469" s="145" t="s">
        <v>165</v>
      </c>
      <c r="C469">
        <v>468</v>
      </c>
      <c r="D469">
        <v>1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0.76574942129629631</v>
      </c>
      <c r="B470" s="145" t="s">
        <v>165</v>
      </c>
      <c r="C470">
        <v>469</v>
      </c>
      <c r="D470">
        <v>1</v>
      </c>
      <c r="E470">
        <v>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0.76574953703703708</v>
      </c>
      <c r="B471" s="145" t="s">
        <v>2</v>
      </c>
      <c r="C471">
        <v>470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0.76574965277777773</v>
      </c>
      <c r="B472" s="145" t="s">
        <v>165</v>
      </c>
      <c r="C472">
        <v>471</v>
      </c>
      <c r="D472">
        <v>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0.7657497685185185</v>
      </c>
      <c r="B473" s="145" t="s">
        <v>165</v>
      </c>
      <c r="C473">
        <v>472</v>
      </c>
      <c r="D473">
        <v>1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0.76574988425925927</v>
      </c>
      <c r="B474" s="145" t="s">
        <v>165</v>
      </c>
      <c r="C474">
        <v>473</v>
      </c>
      <c r="D474">
        <v>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0.76575000000000004</v>
      </c>
      <c r="B475" s="145" t="s">
        <v>165</v>
      </c>
      <c r="C475">
        <v>474</v>
      </c>
      <c r="D475">
        <v>1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0.7657501157407407</v>
      </c>
      <c r="B476" s="145" t="s">
        <v>165</v>
      </c>
      <c r="C476">
        <v>475</v>
      </c>
      <c r="D476">
        <v>1</v>
      </c>
      <c r="E476">
        <v>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0.76575023148148147</v>
      </c>
      <c r="B477" s="145" t="s">
        <v>2</v>
      </c>
      <c r="C477">
        <v>476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0.76575034722222224</v>
      </c>
      <c r="B478" s="145" t="s">
        <v>165</v>
      </c>
      <c r="C478">
        <v>477</v>
      </c>
      <c r="D478">
        <v>1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0.76575046296296301</v>
      </c>
      <c r="B479" s="145" t="s">
        <v>165</v>
      </c>
      <c r="C479">
        <v>478</v>
      </c>
      <c r="D479">
        <v>1</v>
      </c>
      <c r="E479">
        <v>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0.76575057870370367</v>
      </c>
      <c r="B480" s="145" t="s">
        <v>165</v>
      </c>
      <c r="C480">
        <v>479</v>
      </c>
      <c r="D480">
        <v>1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0.76575070601851847</v>
      </c>
      <c r="B481" s="145" t="s">
        <v>165</v>
      </c>
      <c r="C481">
        <v>480</v>
      </c>
      <c r="D481">
        <v>1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0.7657508101851852</v>
      </c>
      <c r="B482" s="145" t="s">
        <v>165</v>
      </c>
      <c r="C482">
        <v>481</v>
      </c>
      <c r="D482">
        <v>1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0.76575092592592597</v>
      </c>
      <c r="B483" s="145" t="s">
        <v>2</v>
      </c>
      <c r="C483">
        <v>482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0.76575104166666663</v>
      </c>
      <c r="B484" s="145" t="s">
        <v>165</v>
      </c>
      <c r="C484">
        <v>483</v>
      </c>
      <c r="D484">
        <v>1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0.7657511574074074</v>
      </c>
      <c r="B485" s="145" t="s">
        <v>165</v>
      </c>
      <c r="C485">
        <v>484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0.76575127314814817</v>
      </c>
      <c r="B486" s="145" t="s">
        <v>165</v>
      </c>
      <c r="C486">
        <v>485</v>
      </c>
      <c r="D486">
        <v>1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0.76575138888888894</v>
      </c>
      <c r="B487" s="145" t="s">
        <v>165</v>
      </c>
      <c r="C487">
        <v>486</v>
      </c>
      <c r="D487">
        <v>1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0.7657515046296296</v>
      </c>
      <c r="B488" s="145" t="s">
        <v>165</v>
      </c>
      <c r="C488">
        <v>487</v>
      </c>
      <c r="D488">
        <v>1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0.76575162037037037</v>
      </c>
      <c r="B489" s="145" t="s">
        <v>2</v>
      </c>
      <c r="C489">
        <v>488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0.76575173611111114</v>
      </c>
      <c r="B490" s="145" t="s">
        <v>165</v>
      </c>
      <c r="C490">
        <v>489</v>
      </c>
      <c r="D490">
        <v>1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0.76575185185185191</v>
      </c>
      <c r="B491" s="145" t="s">
        <v>165</v>
      </c>
      <c r="C491">
        <v>490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0.76575196759259256</v>
      </c>
      <c r="B492" s="145" t="s">
        <v>165</v>
      </c>
      <c r="C492">
        <v>491</v>
      </c>
      <c r="D492">
        <v>1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0.76575208333333333</v>
      </c>
      <c r="B493" s="145" t="s">
        <v>165</v>
      </c>
      <c r="C493">
        <v>492</v>
      </c>
      <c r="D493">
        <v>1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0.7657521990740741</v>
      </c>
      <c r="B494" s="145" t="s">
        <v>165</v>
      </c>
      <c r="C494">
        <v>493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0.76575231481481476</v>
      </c>
      <c r="B495" s="145" t="s">
        <v>2</v>
      </c>
      <c r="C495">
        <v>494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0.76575243055555553</v>
      </c>
      <c r="B496" s="145" t="s">
        <v>165</v>
      </c>
      <c r="C496">
        <v>495</v>
      </c>
      <c r="D496">
        <v>1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0.7657525462962963</v>
      </c>
      <c r="B497" s="145" t="s">
        <v>165</v>
      </c>
      <c r="C497">
        <v>496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0.76575266203703707</v>
      </c>
      <c r="B498" s="145" t="s">
        <v>165</v>
      </c>
      <c r="C498">
        <v>497</v>
      </c>
      <c r="D498">
        <v>1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0.76575277777777773</v>
      </c>
      <c r="B499" s="145" t="s">
        <v>165</v>
      </c>
      <c r="C499">
        <v>498</v>
      </c>
      <c r="D499">
        <v>1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0.7657528935185185</v>
      </c>
      <c r="B500" s="145" t="s">
        <v>165</v>
      </c>
      <c r="C500">
        <v>499</v>
      </c>
      <c r="D500">
        <v>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0.76575300925925927</v>
      </c>
      <c r="B501" s="145" t="s">
        <v>2</v>
      </c>
      <c r="C501">
        <v>500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0.76575312500000003</v>
      </c>
      <c r="B502" s="145" t="s">
        <v>165</v>
      </c>
      <c r="C502">
        <v>501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0.76575324074074069</v>
      </c>
      <c r="B503" s="145" t="s">
        <v>165</v>
      </c>
      <c r="C503">
        <v>502</v>
      </c>
      <c r="D503">
        <v>1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0.76575335648148146</v>
      </c>
      <c r="B504" s="145" t="s">
        <v>165</v>
      </c>
      <c r="C504">
        <v>503</v>
      </c>
      <c r="D504">
        <v>1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0.76575347222222223</v>
      </c>
      <c r="B505" s="145" t="s">
        <v>165</v>
      </c>
      <c r="C505">
        <v>504</v>
      </c>
      <c r="D505">
        <v>1</v>
      </c>
      <c r="E505">
        <v>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0.76575357638888886</v>
      </c>
      <c r="B506" s="145" t="s">
        <v>165</v>
      </c>
      <c r="C506">
        <v>505</v>
      </c>
      <c r="D506">
        <v>1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0.76575369212962963</v>
      </c>
      <c r="B507" s="145" t="s">
        <v>2</v>
      </c>
      <c r="C507">
        <v>506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0.7657538078703704</v>
      </c>
      <c r="B508" s="145" t="s">
        <v>165</v>
      </c>
      <c r="C508">
        <v>507</v>
      </c>
      <c r="D508">
        <v>1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0.76575392361111116</v>
      </c>
      <c r="B509" s="145" t="s">
        <v>165</v>
      </c>
      <c r="C509">
        <v>508</v>
      </c>
      <c r="D509">
        <v>1</v>
      </c>
      <c r="E509">
        <v>1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0.76575403935185182</v>
      </c>
      <c r="B510" s="145" t="s">
        <v>165</v>
      </c>
      <c r="C510">
        <v>509</v>
      </c>
      <c r="D510">
        <v>1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0.76575415509259259</v>
      </c>
      <c r="B511" s="145" t="s">
        <v>165</v>
      </c>
      <c r="C511">
        <v>510</v>
      </c>
      <c r="D511">
        <v>1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0.76575427083333336</v>
      </c>
      <c r="B512" s="145" t="s">
        <v>165</v>
      </c>
      <c r="C512">
        <v>511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0.76575438657407402</v>
      </c>
      <c r="B513" s="145" t="s">
        <v>2</v>
      </c>
      <c r="C513">
        <v>512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0.76575450231481479</v>
      </c>
      <c r="B514" s="145" t="s">
        <v>165</v>
      </c>
      <c r="C514">
        <v>513</v>
      </c>
      <c r="D514">
        <v>1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0.76575461805555556</v>
      </c>
      <c r="B515" s="145" t="s">
        <v>165</v>
      </c>
      <c r="C515">
        <v>514</v>
      </c>
      <c r="D515">
        <v>1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0.76575473379629633</v>
      </c>
      <c r="B516" s="145" t="s">
        <v>165</v>
      </c>
      <c r="C516">
        <v>515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0.76575484953703699</v>
      </c>
      <c r="B517" s="145" t="s">
        <v>165</v>
      </c>
      <c r="C517">
        <v>516</v>
      </c>
      <c r="D517">
        <v>1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0.76575496527777775</v>
      </c>
      <c r="B518" s="145" t="s">
        <v>165</v>
      </c>
      <c r="C518">
        <v>517</v>
      </c>
      <c r="D518">
        <v>1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0.76575508101851852</v>
      </c>
      <c r="B519" s="145" t="s">
        <v>2</v>
      </c>
      <c r="C519">
        <v>518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0.76575519675925929</v>
      </c>
      <c r="B520" s="145" t="s">
        <v>165</v>
      </c>
      <c r="C520">
        <v>519</v>
      </c>
      <c r="D520">
        <v>1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0.76575531249999995</v>
      </c>
      <c r="B521" s="145" t="s">
        <v>165</v>
      </c>
      <c r="C521">
        <v>520</v>
      </c>
      <c r="D521">
        <v>1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0.76575542824074072</v>
      </c>
      <c r="B522" s="145" t="s">
        <v>165</v>
      </c>
      <c r="C522">
        <v>521</v>
      </c>
      <c r="D522">
        <v>1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0.76575554398148149</v>
      </c>
      <c r="B523" s="145" t="s">
        <v>165</v>
      </c>
      <c r="C523">
        <v>522</v>
      </c>
      <c r="D523">
        <v>1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0.76575565972222226</v>
      </c>
      <c r="B524" s="145" t="s">
        <v>165</v>
      </c>
      <c r="C524">
        <v>523</v>
      </c>
      <c r="D524">
        <v>1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0.76575577546296292</v>
      </c>
      <c r="B525" s="145" t="s">
        <v>2</v>
      </c>
      <c r="C525">
        <v>524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0.76575589120370369</v>
      </c>
      <c r="B526" s="145" t="s">
        <v>165</v>
      </c>
      <c r="C526">
        <v>525</v>
      </c>
      <c r="D526">
        <v>1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0.76575600694444446</v>
      </c>
      <c r="B527" s="145" t="s">
        <v>165</v>
      </c>
      <c r="C527">
        <v>526</v>
      </c>
      <c r="D527">
        <v>1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0.76575612268518523</v>
      </c>
      <c r="B528" s="145" t="s">
        <v>165</v>
      </c>
      <c r="C528">
        <v>527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0.76575623842592588</v>
      </c>
      <c r="B529" s="145" t="s">
        <v>165</v>
      </c>
      <c r="C529">
        <v>528</v>
      </c>
      <c r="D529">
        <v>1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0.76575635416666665</v>
      </c>
      <c r="B530" s="145" t="s">
        <v>165</v>
      </c>
      <c r="C530">
        <v>529</v>
      </c>
      <c r="D530">
        <v>1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0.76575646990740742</v>
      </c>
      <c r="B531" s="145" t="s">
        <v>2</v>
      </c>
      <c r="C531">
        <v>530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0.76575658564814819</v>
      </c>
      <c r="B532" s="145" t="s">
        <v>165</v>
      </c>
      <c r="C532">
        <v>531</v>
      </c>
      <c r="D532">
        <v>1</v>
      </c>
      <c r="E532">
        <v>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0.76575670138888885</v>
      </c>
      <c r="B533" s="145" t="s">
        <v>165</v>
      </c>
      <c r="C533">
        <v>532</v>
      </c>
      <c r="D533">
        <v>1</v>
      </c>
      <c r="E533">
        <v>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0.76575681712962962</v>
      </c>
      <c r="B534" s="145" t="s">
        <v>165</v>
      </c>
      <c r="C534">
        <v>533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0.76575693287037039</v>
      </c>
      <c r="B535" s="145" t="s">
        <v>165</v>
      </c>
      <c r="C535">
        <v>534</v>
      </c>
      <c r="D535">
        <v>1</v>
      </c>
      <c r="E535">
        <v>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0.76575704861111116</v>
      </c>
      <c r="B536" s="145" t="s">
        <v>165</v>
      </c>
      <c r="C536">
        <v>535</v>
      </c>
      <c r="D536">
        <v>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0.76575716435185182</v>
      </c>
      <c r="B537" s="145" t="s">
        <v>2</v>
      </c>
      <c r="C537">
        <v>536</v>
      </c>
      <c r="D537">
        <v>0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0.76575728009259258</v>
      </c>
      <c r="B538" s="145" t="s">
        <v>165</v>
      </c>
      <c r="C538">
        <v>537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0.76575739583333335</v>
      </c>
      <c r="B539" s="145" t="s">
        <v>165</v>
      </c>
      <c r="C539">
        <v>538</v>
      </c>
      <c r="D539">
        <v>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0.76575751157407412</v>
      </c>
      <c r="B540" s="145" t="s">
        <v>165</v>
      </c>
      <c r="C540">
        <v>539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0.76575762731481478</v>
      </c>
      <c r="B541" s="145" t="s">
        <v>165</v>
      </c>
      <c r="C541">
        <v>540</v>
      </c>
      <c r="D541">
        <v>1</v>
      </c>
      <c r="E541">
        <v>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0.76575774305555555</v>
      </c>
      <c r="B542" s="145" t="s">
        <v>165</v>
      </c>
      <c r="C542">
        <v>541</v>
      </c>
      <c r="D542">
        <v>1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0.76575785879629632</v>
      </c>
      <c r="B543" s="145" t="s">
        <v>2</v>
      </c>
      <c r="C543">
        <v>542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0.76575797453703709</v>
      </c>
      <c r="B544" s="145" t="s">
        <v>165</v>
      </c>
      <c r="C544">
        <v>543</v>
      </c>
      <c r="D544">
        <v>1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0.76575809027777775</v>
      </c>
      <c r="B545" s="145" t="s">
        <v>165</v>
      </c>
      <c r="C545">
        <v>544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0.76575820601851852</v>
      </c>
      <c r="B546" s="145" t="s">
        <v>165</v>
      </c>
      <c r="C546">
        <v>545</v>
      </c>
      <c r="D546">
        <v>1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0.76575832175925929</v>
      </c>
      <c r="B547" s="145" t="s">
        <v>165</v>
      </c>
      <c r="C547">
        <v>546</v>
      </c>
      <c r="D547">
        <v>1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0.76575843750000006</v>
      </c>
      <c r="B548" s="145" t="s">
        <v>2</v>
      </c>
      <c r="C548">
        <v>547</v>
      </c>
      <c r="D548">
        <v>0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0.76575855324074071</v>
      </c>
      <c r="B549" s="145" t="s">
        <v>2</v>
      </c>
      <c r="C549">
        <v>548</v>
      </c>
      <c r="D549">
        <v>0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0.76575866898148148</v>
      </c>
      <c r="B550" s="145" t="s">
        <v>165</v>
      </c>
      <c r="C550">
        <v>549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0.76575878472222225</v>
      </c>
      <c r="B551" s="145" t="s">
        <v>165</v>
      </c>
      <c r="C551">
        <v>550</v>
      </c>
      <c r="D551">
        <v>1</v>
      </c>
      <c r="E551">
        <v>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0.76575890046296291</v>
      </c>
      <c r="B552" s="145" t="s">
        <v>165</v>
      </c>
      <c r="C552">
        <v>551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0.76575901620370368</v>
      </c>
      <c r="B553" s="145" t="s">
        <v>165</v>
      </c>
      <c r="C553">
        <v>552</v>
      </c>
      <c r="D553">
        <v>1</v>
      </c>
      <c r="E553">
        <v>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0.76575913194444445</v>
      </c>
      <c r="B554" s="145" t="s">
        <v>2</v>
      </c>
      <c r="C554">
        <v>553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0.76575924768518522</v>
      </c>
      <c r="B555" s="145" t="s">
        <v>2</v>
      </c>
      <c r="C555">
        <v>554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0.76575936342592588</v>
      </c>
      <c r="B556" s="145" t="s">
        <v>165</v>
      </c>
      <c r="C556">
        <v>555</v>
      </c>
      <c r="D556">
        <v>1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0.76575947916666665</v>
      </c>
      <c r="B557" s="145" t="s">
        <v>165</v>
      </c>
      <c r="C557">
        <v>556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0.76575959490740741</v>
      </c>
      <c r="B558" s="145" t="s">
        <v>165</v>
      </c>
      <c r="C558">
        <v>557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0.76575971064814818</v>
      </c>
      <c r="B559" s="145" t="s">
        <v>165</v>
      </c>
      <c r="C559">
        <v>558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0.76575982638888884</v>
      </c>
      <c r="B560" s="145" t="s">
        <v>2</v>
      </c>
      <c r="C560">
        <v>559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0.76575994212962961</v>
      </c>
      <c r="B561" s="145" t="s">
        <v>2</v>
      </c>
      <c r="C561">
        <v>560</v>
      </c>
      <c r="D561">
        <v>0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0.76576005787037038</v>
      </c>
      <c r="B562" s="145" t="s">
        <v>165</v>
      </c>
      <c r="C562">
        <v>561</v>
      </c>
      <c r="D562">
        <v>1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0.76576017361111115</v>
      </c>
      <c r="B563" s="145" t="s">
        <v>165</v>
      </c>
      <c r="C563">
        <v>562</v>
      </c>
      <c r="D563">
        <v>1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0.76576028935185181</v>
      </c>
      <c r="B564" s="145" t="s">
        <v>165</v>
      </c>
      <c r="C564">
        <v>563</v>
      </c>
      <c r="D564">
        <v>1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0.76576040509259258</v>
      </c>
      <c r="B565" s="145" t="s">
        <v>165</v>
      </c>
      <c r="C565">
        <v>564</v>
      </c>
      <c r="D565">
        <v>1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0.76576052083333335</v>
      </c>
      <c r="B566" s="145" t="s">
        <v>2</v>
      </c>
      <c r="C566">
        <v>565</v>
      </c>
      <c r="D566">
        <v>0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0.76576075231481477</v>
      </c>
      <c r="B567" s="145" t="s">
        <v>165</v>
      </c>
      <c r="C567">
        <v>566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0.76576085648148151</v>
      </c>
      <c r="B568" s="145" t="s">
        <v>165</v>
      </c>
      <c r="C568">
        <v>567</v>
      </c>
      <c r="D568">
        <v>1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0.76576097222222217</v>
      </c>
      <c r="B569" s="145" t="s">
        <v>165</v>
      </c>
      <c r="C569">
        <v>568</v>
      </c>
      <c r="D569">
        <v>1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0.76576108796296294</v>
      </c>
      <c r="B570" s="145" t="s">
        <v>165</v>
      </c>
      <c r="C570">
        <v>569</v>
      </c>
      <c r="D570">
        <v>1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0.76576121527777774</v>
      </c>
      <c r="B571" s="145" t="s">
        <v>2</v>
      </c>
      <c r="C571">
        <v>570</v>
      </c>
      <c r="D571">
        <v>0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0.76576131944444448</v>
      </c>
      <c r="B572" s="145" t="s">
        <v>2</v>
      </c>
      <c r="C572">
        <v>571</v>
      </c>
      <c r="D572">
        <v>0</v>
      </c>
      <c r="E572">
        <v>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0.76576143518518514</v>
      </c>
      <c r="B573" s="145" t="s">
        <v>165</v>
      </c>
      <c r="C573">
        <v>572</v>
      </c>
      <c r="D573">
        <v>1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0.7657615509259259</v>
      </c>
      <c r="B574" s="145" t="s">
        <v>165</v>
      </c>
      <c r="C574">
        <v>573</v>
      </c>
      <c r="D574">
        <v>1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0.76576166666666667</v>
      </c>
      <c r="B575" s="145" t="s">
        <v>165</v>
      </c>
      <c r="C575">
        <v>574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0.76576178240740744</v>
      </c>
      <c r="B576" s="145" t="s">
        <v>165</v>
      </c>
      <c r="C576">
        <v>575</v>
      </c>
      <c r="D576">
        <v>1</v>
      </c>
      <c r="E576">
        <v>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0.7657618981481481</v>
      </c>
      <c r="B577" s="145" t="s">
        <v>2</v>
      </c>
      <c r="C577">
        <v>576</v>
      </c>
      <c r="D577">
        <v>0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0.76576201388888887</v>
      </c>
      <c r="B578" s="145" t="s">
        <v>2</v>
      </c>
      <c r="C578">
        <v>577</v>
      </c>
      <c r="D578">
        <v>0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0.76576212962962964</v>
      </c>
      <c r="B579" s="145" t="s">
        <v>165</v>
      </c>
      <c r="C579">
        <v>578</v>
      </c>
      <c r="D579">
        <v>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0.76576224537037041</v>
      </c>
      <c r="B580" s="145" t="s">
        <v>165</v>
      </c>
      <c r="C580">
        <v>579</v>
      </c>
      <c r="D580">
        <v>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0.76576236111111107</v>
      </c>
      <c r="B581" s="145" t="s">
        <v>165</v>
      </c>
      <c r="C581">
        <v>580</v>
      </c>
      <c r="D581">
        <v>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0.76576247685185184</v>
      </c>
      <c r="B582" s="145" t="s">
        <v>165</v>
      </c>
      <c r="C582">
        <v>581</v>
      </c>
      <c r="D582">
        <v>1</v>
      </c>
      <c r="E582">
        <v>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0.76576259259259261</v>
      </c>
      <c r="B583" s="145" t="s">
        <v>2</v>
      </c>
      <c r="C583">
        <v>582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0.76576270833333338</v>
      </c>
      <c r="B584" s="145" t="s">
        <v>2</v>
      </c>
      <c r="C584">
        <v>583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0.76576282407407403</v>
      </c>
      <c r="B585" s="145" t="s">
        <v>165</v>
      </c>
      <c r="C585">
        <v>584</v>
      </c>
      <c r="D585">
        <v>1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0.7657629398148148</v>
      </c>
      <c r="B586" s="145" t="s">
        <v>165</v>
      </c>
      <c r="C586">
        <v>585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0.76576305555555557</v>
      </c>
      <c r="B587" s="145" t="s">
        <v>165</v>
      </c>
      <c r="C587">
        <v>586</v>
      </c>
      <c r="D587">
        <v>1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0.76576317129629634</v>
      </c>
      <c r="B588" s="145" t="s">
        <v>165</v>
      </c>
      <c r="C588">
        <v>587</v>
      </c>
      <c r="D588">
        <v>1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0.765763287037037</v>
      </c>
      <c r="B589" s="145" t="s">
        <v>2</v>
      </c>
      <c r="C589">
        <v>588</v>
      </c>
      <c r="D589">
        <v>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0.76576340277777777</v>
      </c>
      <c r="B590" s="145" t="s">
        <v>2</v>
      </c>
      <c r="C590">
        <v>589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0.76576351851851854</v>
      </c>
      <c r="B591" s="145" t="s">
        <v>165</v>
      </c>
      <c r="C591">
        <v>590</v>
      </c>
      <c r="D591">
        <v>1</v>
      </c>
      <c r="E591">
        <v>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0.76576363425925931</v>
      </c>
      <c r="B592" s="145" t="s">
        <v>165</v>
      </c>
      <c r="C592">
        <v>591</v>
      </c>
      <c r="D592">
        <v>1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0.76576374999999997</v>
      </c>
      <c r="B593" s="145" t="s">
        <v>165</v>
      </c>
      <c r="C593">
        <v>592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0.76576386574074073</v>
      </c>
      <c r="B594" s="145" t="s">
        <v>165</v>
      </c>
      <c r="C594">
        <v>593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0.7657639814814815</v>
      </c>
      <c r="B595" s="145" t="s">
        <v>2</v>
      </c>
      <c r="C595">
        <v>594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0.76576409722222227</v>
      </c>
      <c r="B596" s="145" t="s">
        <v>2</v>
      </c>
      <c r="C596">
        <v>595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0.76576421296296293</v>
      </c>
      <c r="B597" s="145" t="s">
        <v>165</v>
      </c>
      <c r="C597">
        <v>596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0.7657643287037037</v>
      </c>
      <c r="B598" s="145" t="s">
        <v>165</v>
      </c>
      <c r="C598">
        <v>597</v>
      </c>
      <c r="D598">
        <v>1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0.76576444444444447</v>
      </c>
      <c r="B599" s="145" t="s">
        <v>165</v>
      </c>
      <c r="C599">
        <v>598</v>
      </c>
      <c r="D599">
        <v>1</v>
      </c>
      <c r="E599">
        <v>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0.76576456018518524</v>
      </c>
      <c r="B600" s="145" t="s">
        <v>165</v>
      </c>
      <c r="C600">
        <v>599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0.7657646759259259</v>
      </c>
      <c r="B601" s="145" t="s">
        <v>2</v>
      </c>
      <c r="C601">
        <v>600</v>
      </c>
      <c r="D601">
        <v>0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0.76576479166666667</v>
      </c>
      <c r="B602" s="145" t="s">
        <v>2</v>
      </c>
      <c r="C602">
        <v>601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0.76576490740740744</v>
      </c>
      <c r="B603" s="145" t="s">
        <v>165</v>
      </c>
      <c r="C603">
        <v>602</v>
      </c>
      <c r="D603">
        <v>1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0.76576502314814809</v>
      </c>
      <c r="B604" s="145" t="s">
        <v>165</v>
      </c>
      <c r="C604">
        <v>603</v>
      </c>
      <c r="D604">
        <v>1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0.76576513888888886</v>
      </c>
      <c r="B605" s="145" t="s">
        <v>165</v>
      </c>
      <c r="C605">
        <v>604</v>
      </c>
      <c r="D605">
        <v>1</v>
      </c>
      <c r="E605">
        <v>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0.76576525462962963</v>
      </c>
      <c r="B606" s="145" t="s">
        <v>165</v>
      </c>
      <c r="C606">
        <v>605</v>
      </c>
      <c r="D606">
        <v>1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0.7657653703703704</v>
      </c>
      <c r="B607" s="145" t="s">
        <v>2</v>
      </c>
      <c r="C607">
        <v>606</v>
      </c>
      <c r="D607">
        <v>0</v>
      </c>
      <c r="E607">
        <v>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0.76576548611111106</v>
      </c>
      <c r="B608" s="145" t="s">
        <v>2</v>
      </c>
      <c r="C608">
        <v>607</v>
      </c>
      <c r="D608">
        <v>0</v>
      </c>
      <c r="E608">
        <v>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0.76576560185185183</v>
      </c>
      <c r="B609" s="145" t="s">
        <v>165</v>
      </c>
      <c r="C609">
        <v>608</v>
      </c>
      <c r="D609">
        <v>1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0.7657657175925926</v>
      </c>
      <c r="B610" s="145" t="s">
        <v>165</v>
      </c>
      <c r="C610">
        <v>609</v>
      </c>
      <c r="D610">
        <v>1</v>
      </c>
      <c r="E610">
        <v>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0.76576583333333337</v>
      </c>
      <c r="B611" s="145" t="s">
        <v>165</v>
      </c>
      <c r="C611">
        <v>610</v>
      </c>
      <c r="D611">
        <v>1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0.76576594907407403</v>
      </c>
      <c r="B612" s="145" t="s">
        <v>165</v>
      </c>
      <c r="C612">
        <v>611</v>
      </c>
      <c r="D612">
        <v>1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0.7657660648148148</v>
      </c>
      <c r="B613" s="145" t="s">
        <v>2</v>
      </c>
      <c r="C613">
        <v>612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0.76576618055555556</v>
      </c>
      <c r="B614" s="145" t="s">
        <v>2</v>
      </c>
      <c r="C614">
        <v>613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0.76576629629629633</v>
      </c>
      <c r="B615" s="145" t="s">
        <v>165</v>
      </c>
      <c r="C615">
        <v>614</v>
      </c>
      <c r="D615">
        <v>1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0.76576641203703699</v>
      </c>
      <c r="B616" s="145" t="s">
        <v>165</v>
      </c>
      <c r="C616">
        <v>615</v>
      </c>
      <c r="D616">
        <v>1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0.76576652777777776</v>
      </c>
      <c r="B617" s="145" t="s">
        <v>165</v>
      </c>
      <c r="C617">
        <v>616</v>
      </c>
      <c r="D617">
        <v>1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0.76576664351851853</v>
      </c>
      <c r="B618" s="145" t="s">
        <v>165</v>
      </c>
      <c r="C618">
        <v>617</v>
      </c>
      <c r="D618">
        <v>1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0.7657667592592593</v>
      </c>
      <c r="B619" s="145" t="s">
        <v>2</v>
      </c>
      <c r="C619">
        <v>618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0.76576687499999996</v>
      </c>
      <c r="B620" s="145" t="s">
        <v>2</v>
      </c>
      <c r="C620">
        <v>619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0.76576699074074073</v>
      </c>
      <c r="B621" s="145" t="s">
        <v>165</v>
      </c>
      <c r="C621">
        <v>620</v>
      </c>
      <c r="D621">
        <v>1</v>
      </c>
      <c r="E621">
        <v>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0.7657671064814815</v>
      </c>
      <c r="B622" s="145" t="s">
        <v>165</v>
      </c>
      <c r="C622">
        <v>621</v>
      </c>
      <c r="D622">
        <v>1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0.76576722222222227</v>
      </c>
      <c r="B623" s="145" t="s">
        <v>165</v>
      </c>
      <c r="C623">
        <v>622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0.76576733796296292</v>
      </c>
      <c r="B624" s="145" t="s">
        <v>165</v>
      </c>
      <c r="C624">
        <v>623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0.76576745370370369</v>
      </c>
      <c r="B625" s="145" t="s">
        <v>2</v>
      </c>
      <c r="C625">
        <v>624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0.76576756944444446</v>
      </c>
      <c r="B626" s="145" t="s">
        <v>2</v>
      </c>
      <c r="C626">
        <v>625</v>
      </c>
      <c r="D626">
        <v>0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0.76576768518518523</v>
      </c>
      <c r="B627" s="145" t="s">
        <v>165</v>
      </c>
      <c r="C627">
        <v>626</v>
      </c>
      <c r="D627">
        <v>1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0.76576780092592589</v>
      </c>
      <c r="B628" s="145" t="s">
        <v>165</v>
      </c>
      <c r="C628">
        <v>627</v>
      </c>
      <c r="D628">
        <v>1</v>
      </c>
      <c r="E628">
        <v>1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0.76576791666666666</v>
      </c>
      <c r="B629" s="145" t="s">
        <v>165</v>
      </c>
      <c r="C629">
        <v>628</v>
      </c>
      <c r="D629">
        <v>1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0.76576803240740743</v>
      </c>
      <c r="B630" s="145" t="s">
        <v>165</v>
      </c>
      <c r="C630">
        <v>629</v>
      </c>
      <c r="D630">
        <v>1</v>
      </c>
      <c r="E630">
        <v>1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0.76576813657407405</v>
      </c>
      <c r="B631" s="145" t="s">
        <v>2</v>
      </c>
      <c r="C631">
        <v>630</v>
      </c>
      <c r="D631">
        <v>0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0.76576825231481482</v>
      </c>
      <c r="B632" s="145" t="s">
        <v>2</v>
      </c>
      <c r="C632">
        <v>631</v>
      </c>
      <c r="D632">
        <v>0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0.76576836805555559</v>
      </c>
      <c r="B633" s="145" t="s">
        <v>165</v>
      </c>
      <c r="C633">
        <v>632</v>
      </c>
      <c r="D633">
        <v>1</v>
      </c>
      <c r="E633">
        <v>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0.76576848379629625</v>
      </c>
      <c r="B634" s="145" t="s">
        <v>165</v>
      </c>
      <c r="C634">
        <v>633</v>
      </c>
      <c r="D634">
        <v>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0.76576859953703702</v>
      </c>
      <c r="B635" s="145" t="s">
        <v>165</v>
      </c>
      <c r="C635">
        <v>634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0.76576871527777779</v>
      </c>
      <c r="B636" s="145" t="s">
        <v>165</v>
      </c>
      <c r="C636">
        <v>635</v>
      </c>
      <c r="D636">
        <v>1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0.76576883101851856</v>
      </c>
      <c r="B637" s="145" t="s">
        <v>2</v>
      </c>
      <c r="C637">
        <v>636</v>
      </c>
      <c r="D637">
        <v>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0.76576894675925922</v>
      </c>
      <c r="B638" s="145" t="s">
        <v>2</v>
      </c>
      <c r="C638">
        <v>637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0.76576906249999999</v>
      </c>
      <c r="B639" s="145" t="s">
        <v>165</v>
      </c>
      <c r="C639">
        <v>638</v>
      </c>
      <c r="D639">
        <v>1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0.76576917824074076</v>
      </c>
      <c r="B640" s="145" t="s">
        <v>165</v>
      </c>
      <c r="C640">
        <v>639</v>
      </c>
      <c r="D640">
        <v>1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0.76576929398148152</v>
      </c>
      <c r="B641" s="145" t="s">
        <v>165</v>
      </c>
      <c r="C641">
        <v>640</v>
      </c>
      <c r="D641">
        <v>1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0.76576940972222218</v>
      </c>
      <c r="B642" s="145" t="s">
        <v>165</v>
      </c>
      <c r="C642">
        <v>641</v>
      </c>
      <c r="D642">
        <v>1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0.76576952546296295</v>
      </c>
      <c r="B643" s="145" t="s">
        <v>2</v>
      </c>
      <c r="C643">
        <v>642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0.76576964120370372</v>
      </c>
      <c r="B644" s="145" t="s">
        <v>2</v>
      </c>
      <c r="C644">
        <v>643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0.76576975694444449</v>
      </c>
      <c r="B645" s="145" t="s">
        <v>165</v>
      </c>
      <c r="C645">
        <v>644</v>
      </c>
      <c r="D645">
        <v>1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0.76576987268518515</v>
      </c>
      <c r="B646" s="145" t="s">
        <v>165</v>
      </c>
      <c r="C646">
        <v>645</v>
      </c>
      <c r="D646">
        <v>1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0.76576998842592592</v>
      </c>
      <c r="B647" s="145" t="s">
        <v>165</v>
      </c>
      <c r="C647">
        <v>646</v>
      </c>
      <c r="D647">
        <v>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0.76577010416666669</v>
      </c>
      <c r="B648" s="145" t="s">
        <v>165</v>
      </c>
      <c r="C648">
        <v>647</v>
      </c>
      <c r="D648">
        <v>1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0.76577021990740746</v>
      </c>
      <c r="B649" s="145" t="s">
        <v>2</v>
      </c>
      <c r="C649">
        <v>648</v>
      </c>
      <c r="D649">
        <v>0</v>
      </c>
      <c r="E649">
        <v>1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0.76577033564814811</v>
      </c>
      <c r="B650" s="145" t="s">
        <v>2</v>
      </c>
      <c r="C650">
        <v>649</v>
      </c>
      <c r="D650">
        <v>0</v>
      </c>
      <c r="E650">
        <v>1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0.76577045138888888</v>
      </c>
      <c r="B651" s="145" t="s">
        <v>165</v>
      </c>
      <c r="C651">
        <v>650</v>
      </c>
      <c r="D651">
        <v>1</v>
      </c>
      <c r="E651">
        <v>1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0.76577056712962965</v>
      </c>
      <c r="B652" s="145" t="s">
        <v>165</v>
      </c>
      <c r="C652">
        <v>651</v>
      </c>
      <c r="D652">
        <v>1</v>
      </c>
      <c r="E652">
        <v>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0.76577068287037042</v>
      </c>
      <c r="B653" s="145" t="s">
        <v>165</v>
      </c>
      <c r="C653">
        <v>652</v>
      </c>
      <c r="D653">
        <v>1</v>
      </c>
      <c r="E653">
        <v>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0.76577079861111108</v>
      </c>
      <c r="B654" s="145" t="s">
        <v>165</v>
      </c>
      <c r="C654">
        <v>653</v>
      </c>
      <c r="D654">
        <v>1</v>
      </c>
      <c r="E654">
        <v>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0.76577091435185185</v>
      </c>
      <c r="B655" s="145" t="s">
        <v>2</v>
      </c>
      <c r="C655">
        <v>654</v>
      </c>
      <c r="D655">
        <v>0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0.76577103009259262</v>
      </c>
      <c r="B656" s="145" t="s">
        <v>2</v>
      </c>
      <c r="C656">
        <v>655</v>
      </c>
      <c r="D656">
        <v>0</v>
      </c>
      <c r="E656">
        <v>1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0.76577114583333339</v>
      </c>
      <c r="B657" s="145" t="s">
        <v>165</v>
      </c>
      <c r="C657">
        <v>656</v>
      </c>
      <c r="D657">
        <v>1</v>
      </c>
      <c r="E657">
        <v>1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0.76577126157407405</v>
      </c>
      <c r="B658" s="145" t="s">
        <v>165</v>
      </c>
      <c r="C658">
        <v>657</v>
      </c>
      <c r="D658">
        <v>1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0.76577137731481482</v>
      </c>
      <c r="B659" s="145" t="s">
        <v>165</v>
      </c>
      <c r="C659">
        <v>658</v>
      </c>
      <c r="D659">
        <v>1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0.76577149305555559</v>
      </c>
      <c r="B660" s="145" t="s">
        <v>165</v>
      </c>
      <c r="C660">
        <v>659</v>
      </c>
      <c r="D660">
        <v>1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0.76577160879629624</v>
      </c>
      <c r="B661" s="145" t="s">
        <v>2</v>
      </c>
      <c r="C661">
        <v>660</v>
      </c>
      <c r="D661">
        <v>0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0.76577172453703701</v>
      </c>
      <c r="B662" s="145" t="s">
        <v>2</v>
      </c>
      <c r="C662">
        <v>661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0.76577184027777778</v>
      </c>
      <c r="B663" s="145" t="s">
        <v>165</v>
      </c>
      <c r="C663">
        <v>662</v>
      </c>
      <c r="D663">
        <v>1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0.76577196759259258</v>
      </c>
      <c r="B664" s="145" t="s">
        <v>165</v>
      </c>
      <c r="C664">
        <v>663</v>
      </c>
      <c r="D664">
        <v>1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0.76577207175925921</v>
      </c>
      <c r="B665" s="145" t="s">
        <v>165</v>
      </c>
      <c r="C665">
        <v>664</v>
      </c>
      <c r="D665">
        <v>1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0.76577230324074075</v>
      </c>
      <c r="B666" s="145" t="s">
        <v>2</v>
      </c>
      <c r="C666">
        <v>665</v>
      </c>
      <c r="D666">
        <v>0</v>
      </c>
      <c r="E666">
        <v>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0.76577241898148152</v>
      </c>
      <c r="B667" s="145" t="s">
        <v>2</v>
      </c>
      <c r="C667">
        <v>666</v>
      </c>
      <c r="D667">
        <v>0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0.76577253472222218</v>
      </c>
      <c r="B668" s="145" t="s">
        <v>165</v>
      </c>
      <c r="C668">
        <v>667</v>
      </c>
      <c r="D668">
        <v>1</v>
      </c>
      <c r="E668">
        <v>1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0.76577265046296294</v>
      </c>
      <c r="B669" s="145" t="s">
        <v>165</v>
      </c>
      <c r="C669">
        <v>668</v>
      </c>
      <c r="D669">
        <v>1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0.76577276620370371</v>
      </c>
      <c r="B670" s="145" t="s">
        <v>165</v>
      </c>
      <c r="C670">
        <v>669</v>
      </c>
      <c r="D670">
        <v>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0.76577288194444448</v>
      </c>
      <c r="B671" s="145" t="s">
        <v>165</v>
      </c>
      <c r="C671">
        <v>670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0.76577299768518514</v>
      </c>
      <c r="B672" s="145" t="s">
        <v>2</v>
      </c>
      <c r="C672">
        <v>671</v>
      </c>
      <c r="D672">
        <v>0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0.76577311342592591</v>
      </c>
      <c r="B673" s="145" t="s">
        <v>2</v>
      </c>
      <c r="C673">
        <v>672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0.76577322916666668</v>
      </c>
      <c r="B674" s="145" t="s">
        <v>165</v>
      </c>
      <c r="C674">
        <v>673</v>
      </c>
      <c r="D674">
        <v>1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0.76577334490740745</v>
      </c>
      <c r="B675" s="145" t="s">
        <v>165</v>
      </c>
      <c r="C675">
        <v>674</v>
      </c>
      <c r="D675">
        <v>1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0.76577346064814811</v>
      </c>
      <c r="B676" s="145" t="s">
        <v>165</v>
      </c>
      <c r="C676">
        <v>675</v>
      </c>
      <c r="D676">
        <v>1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0.76577357638888888</v>
      </c>
      <c r="B677" s="145" t="s">
        <v>165</v>
      </c>
      <c r="C677">
        <v>676</v>
      </c>
      <c r="D677">
        <v>1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0.76577369212962965</v>
      </c>
      <c r="B678" s="145" t="s">
        <v>2</v>
      </c>
      <c r="C678">
        <v>677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0.76577380787037042</v>
      </c>
      <c r="B679" s="145" t="s">
        <v>2</v>
      </c>
      <c r="C679">
        <v>678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0.76577392361111107</v>
      </c>
      <c r="B680" s="145" t="s">
        <v>165</v>
      </c>
      <c r="C680">
        <v>679</v>
      </c>
      <c r="D680">
        <v>1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0.76577403935185184</v>
      </c>
      <c r="B681" s="145" t="s">
        <v>165</v>
      </c>
      <c r="C681">
        <v>680</v>
      </c>
      <c r="D681">
        <v>1</v>
      </c>
      <c r="E681">
        <v>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0.76577415509259261</v>
      </c>
      <c r="B682" s="145" t="s">
        <v>165</v>
      </c>
      <c r="C682">
        <v>681</v>
      </c>
      <c r="D682">
        <v>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0.76577427083333338</v>
      </c>
      <c r="B683" s="145" t="s">
        <v>165</v>
      </c>
      <c r="C683">
        <v>682</v>
      </c>
      <c r="D683">
        <v>1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0.76577438657407404</v>
      </c>
      <c r="B684" s="145" t="s">
        <v>2</v>
      </c>
      <c r="C684">
        <v>683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0.76577450231481481</v>
      </c>
      <c r="B685" s="145" t="s">
        <v>2</v>
      </c>
      <c r="C685">
        <v>684</v>
      </c>
      <c r="D685">
        <v>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0.76577461805555558</v>
      </c>
      <c r="B686" s="145" t="s">
        <v>165</v>
      </c>
      <c r="C686">
        <v>685</v>
      </c>
      <c r="D686">
        <v>1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0.76577473379629635</v>
      </c>
      <c r="B687" s="145" t="s">
        <v>165</v>
      </c>
      <c r="C687">
        <v>686</v>
      </c>
      <c r="D687">
        <v>1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0.76577484953703701</v>
      </c>
      <c r="B688" s="145" t="s">
        <v>165</v>
      </c>
      <c r="C688">
        <v>687</v>
      </c>
      <c r="D688">
        <v>1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0.76577496527777777</v>
      </c>
      <c r="B689" s="145" t="s">
        <v>165</v>
      </c>
      <c r="C689">
        <v>688</v>
      </c>
      <c r="D689">
        <v>1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0.7657750694444444</v>
      </c>
      <c r="B690" s="145" t="s">
        <v>2</v>
      </c>
      <c r="C690">
        <v>689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0.76577518518518517</v>
      </c>
      <c r="B691" s="145" t="s">
        <v>2</v>
      </c>
      <c r="C691">
        <v>690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0.76577530092592594</v>
      </c>
      <c r="B692" s="145" t="s">
        <v>165</v>
      </c>
      <c r="C692">
        <v>691</v>
      </c>
      <c r="D692">
        <v>1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0.76577541666666671</v>
      </c>
      <c r="B693" s="145" t="s">
        <v>165</v>
      </c>
      <c r="C693">
        <v>692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0.76577553240740737</v>
      </c>
      <c r="B694" s="145" t="s">
        <v>165</v>
      </c>
      <c r="C694">
        <v>693</v>
      </c>
      <c r="D694">
        <v>1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0.76577564814814814</v>
      </c>
      <c r="B695" s="145" t="s">
        <v>165</v>
      </c>
      <c r="C695">
        <v>694</v>
      </c>
      <c r="D695">
        <v>1</v>
      </c>
      <c r="E695">
        <v>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0.76577576388888891</v>
      </c>
      <c r="B696" s="145" t="s">
        <v>2</v>
      </c>
      <c r="C696">
        <v>695</v>
      </c>
      <c r="D696">
        <v>0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0.76577587962962967</v>
      </c>
      <c r="B697" s="145" t="s">
        <v>2</v>
      </c>
      <c r="C697">
        <v>696</v>
      </c>
      <c r="D697">
        <v>0</v>
      </c>
      <c r="E697">
        <v>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0.76577599537037033</v>
      </c>
      <c r="B698" s="145" t="s">
        <v>165</v>
      </c>
      <c r="C698">
        <v>697</v>
      </c>
      <c r="D698">
        <v>1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0.7657761111111111</v>
      </c>
      <c r="B699" s="145" t="s">
        <v>165</v>
      </c>
      <c r="C699">
        <v>698</v>
      </c>
      <c r="D699">
        <v>1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0.76577622685185187</v>
      </c>
      <c r="B700" s="145" t="s">
        <v>165</v>
      </c>
      <c r="C700">
        <v>699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0.76577634259259264</v>
      </c>
      <c r="B701" s="145" t="s">
        <v>165</v>
      </c>
      <c r="C701">
        <v>700</v>
      </c>
      <c r="D701">
        <v>1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0.7657764583333333</v>
      </c>
      <c r="B702" s="145" t="s">
        <v>2</v>
      </c>
      <c r="C702">
        <v>701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0.76577657407407407</v>
      </c>
      <c r="B703" s="145" t="s">
        <v>2</v>
      </c>
      <c r="C703">
        <v>702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0.76577668981481484</v>
      </c>
      <c r="B704" s="145" t="s">
        <v>165</v>
      </c>
      <c r="C704">
        <v>703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0.76577680555555561</v>
      </c>
      <c r="B705" s="145" t="s">
        <v>165</v>
      </c>
      <c r="C705">
        <v>704</v>
      </c>
      <c r="D705">
        <v>1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0.76577692129629626</v>
      </c>
      <c r="B706" s="145" t="s">
        <v>165</v>
      </c>
      <c r="C706">
        <v>705</v>
      </c>
      <c r="D706">
        <v>1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0.76577703703703703</v>
      </c>
      <c r="B707" s="145" t="s">
        <v>165</v>
      </c>
      <c r="C707">
        <v>706</v>
      </c>
      <c r="D707">
        <v>1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0.7657771527777778</v>
      </c>
      <c r="B708" s="145" t="s">
        <v>2</v>
      </c>
      <c r="C708">
        <v>707</v>
      </c>
      <c r="D708">
        <v>0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0.76577726851851857</v>
      </c>
      <c r="B709" s="145" t="s">
        <v>2</v>
      </c>
      <c r="C709">
        <v>708</v>
      </c>
      <c r="D709">
        <v>0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0.76577738425925923</v>
      </c>
      <c r="B710" s="145" t="s">
        <v>165</v>
      </c>
      <c r="C710">
        <v>709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0.7657775</v>
      </c>
      <c r="B711" s="145" t="s">
        <v>165</v>
      </c>
      <c r="C711">
        <v>710</v>
      </c>
      <c r="D711">
        <v>1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0.76577761574074077</v>
      </c>
      <c r="B712" s="145" t="s">
        <v>165</v>
      </c>
      <c r="C712">
        <v>711</v>
      </c>
      <c r="D712">
        <v>1</v>
      </c>
      <c r="E712">
        <v>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0.76577773148148143</v>
      </c>
      <c r="B713" s="145" t="s">
        <v>165</v>
      </c>
      <c r="C713">
        <v>712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0.7657778472222222</v>
      </c>
      <c r="B714" s="145" t="s">
        <v>2</v>
      </c>
      <c r="C714">
        <v>713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0.76577796296296297</v>
      </c>
      <c r="B715" s="145" t="s">
        <v>2</v>
      </c>
      <c r="C715">
        <v>714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0.76577807870370374</v>
      </c>
      <c r="B716" s="145" t="s">
        <v>165</v>
      </c>
      <c r="C716">
        <v>715</v>
      </c>
      <c r="D716">
        <v>1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0.76577819444444439</v>
      </c>
      <c r="B717" s="145" t="s">
        <v>165</v>
      </c>
      <c r="C717">
        <v>716</v>
      </c>
      <c r="D717">
        <v>1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0.76577831018518516</v>
      </c>
      <c r="B718" s="145" t="s">
        <v>165</v>
      </c>
      <c r="C718">
        <v>717</v>
      </c>
      <c r="D718">
        <v>1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0.76577842592592593</v>
      </c>
      <c r="B719" s="145" t="s">
        <v>165</v>
      </c>
      <c r="C719">
        <v>718</v>
      </c>
      <c r="D719">
        <v>1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0.7657785416666667</v>
      </c>
      <c r="B720" s="145" t="s">
        <v>2</v>
      </c>
      <c r="C720">
        <v>719</v>
      </c>
      <c r="D720">
        <v>0</v>
      </c>
      <c r="E720">
        <v>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0.76577865740740736</v>
      </c>
      <c r="B721" s="145" t="s">
        <v>2</v>
      </c>
      <c r="C721">
        <v>720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0.76577877314814813</v>
      </c>
      <c r="B722" s="145" t="s">
        <v>165</v>
      </c>
      <c r="C722">
        <v>721</v>
      </c>
      <c r="D722">
        <v>1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0.7657788888888889</v>
      </c>
      <c r="B723" s="145" t="s">
        <v>165</v>
      </c>
      <c r="C723">
        <v>722</v>
      </c>
      <c r="D723">
        <v>1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0.76577900462962967</v>
      </c>
      <c r="B724" s="145" t="s">
        <v>165</v>
      </c>
      <c r="C724">
        <v>723</v>
      </c>
      <c r="D724">
        <v>1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0.76577912037037033</v>
      </c>
      <c r="B725" s="145" t="s">
        <v>165</v>
      </c>
      <c r="C725">
        <v>724</v>
      </c>
      <c r="D725">
        <v>1</v>
      </c>
      <c r="E725">
        <v>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0.76577923611111109</v>
      </c>
      <c r="B726" s="145" t="s">
        <v>2</v>
      </c>
      <c r="C726">
        <v>725</v>
      </c>
      <c r="D726">
        <v>0</v>
      </c>
      <c r="E726">
        <v>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0.76577935185185186</v>
      </c>
      <c r="B727" s="145" t="s">
        <v>2</v>
      </c>
      <c r="C727">
        <v>726</v>
      </c>
      <c r="D727">
        <v>0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0.76577946759259263</v>
      </c>
      <c r="B728" s="145" t="s">
        <v>165</v>
      </c>
      <c r="C728">
        <v>727</v>
      </c>
      <c r="D728">
        <v>1</v>
      </c>
      <c r="E728">
        <v>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0.76577958333333329</v>
      </c>
      <c r="B729" s="145" t="s">
        <v>165</v>
      </c>
      <c r="C729">
        <v>728</v>
      </c>
      <c r="D729">
        <v>1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0.76577969907407406</v>
      </c>
      <c r="B730" s="145" t="s">
        <v>165</v>
      </c>
      <c r="C730">
        <v>729</v>
      </c>
      <c r="D730">
        <v>1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0.76577981481481483</v>
      </c>
      <c r="B731" s="145" t="s">
        <v>165</v>
      </c>
      <c r="C731">
        <v>730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0.7657799305555556</v>
      </c>
      <c r="B732" s="145" t="s">
        <v>2</v>
      </c>
      <c r="C732">
        <v>731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0.76578004629629626</v>
      </c>
      <c r="B733" s="145" t="s">
        <v>2</v>
      </c>
      <c r="C733">
        <v>732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0.76578016203703703</v>
      </c>
      <c r="B734" s="145" t="s">
        <v>165</v>
      </c>
      <c r="C734">
        <v>733</v>
      </c>
      <c r="D734">
        <v>1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0.7657802777777778</v>
      </c>
      <c r="B735" s="145" t="s">
        <v>165</v>
      </c>
      <c r="C735">
        <v>734</v>
      </c>
      <c r="D735">
        <v>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0.76578039351851857</v>
      </c>
      <c r="B736" s="145" t="s">
        <v>165</v>
      </c>
      <c r="C736">
        <v>735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0.76578050925925922</v>
      </c>
      <c r="B737" s="145" t="s">
        <v>165</v>
      </c>
      <c r="C737">
        <v>736</v>
      </c>
      <c r="D737">
        <v>1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0.76578062499999999</v>
      </c>
      <c r="B738" s="145" t="s">
        <v>2</v>
      </c>
      <c r="C738">
        <v>737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0.76578074074074076</v>
      </c>
      <c r="B739" s="145" t="s">
        <v>2</v>
      </c>
      <c r="C739">
        <v>738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0.76578085648148153</v>
      </c>
      <c r="B740" s="145" t="s">
        <v>165</v>
      </c>
      <c r="C740">
        <v>739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0.76578097222222219</v>
      </c>
      <c r="B741" s="145" t="s">
        <v>165</v>
      </c>
      <c r="C741">
        <v>740</v>
      </c>
      <c r="D741">
        <v>1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0.76578108796296296</v>
      </c>
      <c r="B742" s="145" t="s">
        <v>165</v>
      </c>
      <c r="C742">
        <v>741</v>
      </c>
      <c r="D742">
        <v>1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0.76578120370370373</v>
      </c>
      <c r="B743" s="145" t="s">
        <v>165</v>
      </c>
      <c r="C743">
        <v>742</v>
      </c>
      <c r="D743">
        <v>1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0.7657813194444445</v>
      </c>
      <c r="B744" s="145" t="s">
        <v>2</v>
      </c>
      <c r="C744">
        <v>743</v>
      </c>
      <c r="D744">
        <v>0</v>
      </c>
      <c r="E744">
        <v>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0.76578143518518516</v>
      </c>
      <c r="B745" s="145" t="s">
        <v>2</v>
      </c>
      <c r="C745">
        <v>744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0.76578155092592592</v>
      </c>
      <c r="B746" s="145" t="s">
        <v>165</v>
      </c>
      <c r="C746">
        <v>745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0.76578166666666669</v>
      </c>
      <c r="B747" s="145" t="s">
        <v>165</v>
      </c>
      <c r="C747">
        <v>746</v>
      </c>
      <c r="D747">
        <v>1</v>
      </c>
      <c r="E747">
        <v>1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0.76578178240740735</v>
      </c>
      <c r="B748" s="145" t="s">
        <v>165</v>
      </c>
      <c r="C748">
        <v>747</v>
      </c>
      <c r="D748">
        <v>1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0.76578188657407409</v>
      </c>
      <c r="B749" s="145" t="s">
        <v>165</v>
      </c>
      <c r="C749">
        <v>748</v>
      </c>
      <c r="D749">
        <v>1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0.76578200231481486</v>
      </c>
      <c r="B750" s="145" t="s">
        <v>2</v>
      </c>
      <c r="C750">
        <v>749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0.76578211805555552</v>
      </c>
      <c r="B751" s="145" t="s">
        <v>2</v>
      </c>
      <c r="C751">
        <v>750</v>
      </c>
      <c r="D751">
        <v>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0.76578223379629629</v>
      </c>
      <c r="B752" s="145" t="s">
        <v>165</v>
      </c>
      <c r="C752">
        <v>751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0.76578234953703705</v>
      </c>
      <c r="B753" s="145" t="s">
        <v>165</v>
      </c>
      <c r="C753">
        <v>752</v>
      </c>
      <c r="D753">
        <v>1</v>
      </c>
      <c r="E753">
        <v>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0.76578247685185186</v>
      </c>
      <c r="B754" s="145" t="s">
        <v>165</v>
      </c>
      <c r="C754">
        <v>753</v>
      </c>
      <c r="D754">
        <v>1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0.76578258101851848</v>
      </c>
      <c r="B755" s="145" t="s">
        <v>165</v>
      </c>
      <c r="C755">
        <v>754</v>
      </c>
      <c r="D755">
        <v>1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0.76578269675925925</v>
      </c>
      <c r="B756" s="145" t="s">
        <v>2</v>
      </c>
      <c r="C756">
        <v>755</v>
      </c>
      <c r="D756">
        <v>0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0.76578281250000002</v>
      </c>
      <c r="B757" s="145" t="s">
        <v>2</v>
      </c>
      <c r="C757">
        <v>756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0.76578292824074079</v>
      </c>
      <c r="B758" s="145" t="s">
        <v>165</v>
      </c>
      <c r="C758">
        <v>757</v>
      </c>
      <c r="D758">
        <v>1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0.76578304398148145</v>
      </c>
      <c r="B759" s="145" t="s">
        <v>165</v>
      </c>
      <c r="C759">
        <v>758</v>
      </c>
      <c r="D759">
        <v>1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0.76578315972222222</v>
      </c>
      <c r="B760" s="145" t="s">
        <v>165</v>
      </c>
      <c r="C760">
        <v>759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0.76578327546296299</v>
      </c>
      <c r="B761" s="145" t="s">
        <v>165</v>
      </c>
      <c r="C761">
        <v>760</v>
      </c>
      <c r="D761">
        <v>1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0.76578339120370376</v>
      </c>
      <c r="B762" s="145" t="s">
        <v>2</v>
      </c>
      <c r="C762">
        <v>761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0.76578350694444441</v>
      </c>
      <c r="B763" s="145" t="s">
        <v>2</v>
      </c>
      <c r="C763">
        <v>762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0.76578362268518518</v>
      </c>
      <c r="B764" s="145" t="s">
        <v>165</v>
      </c>
      <c r="C764">
        <v>763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0.76578385416666672</v>
      </c>
      <c r="B765" s="145" t="s">
        <v>165</v>
      </c>
      <c r="C765">
        <v>764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0.76578396990740738</v>
      </c>
      <c r="B766" s="145" t="s">
        <v>165</v>
      </c>
      <c r="C766">
        <v>765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0.76578408564814815</v>
      </c>
      <c r="B767" s="145" t="s">
        <v>2</v>
      </c>
      <c r="C767">
        <v>766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0.76578420138888892</v>
      </c>
      <c r="B768" s="145" t="s">
        <v>2</v>
      </c>
      <c r="C768">
        <v>767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0.76578431712962958</v>
      </c>
      <c r="B769" s="145" t="s">
        <v>165</v>
      </c>
      <c r="C769">
        <v>768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0.76578443287037035</v>
      </c>
      <c r="B770" s="145" t="s">
        <v>165</v>
      </c>
      <c r="C770">
        <v>769</v>
      </c>
      <c r="D770">
        <v>1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0.76578454861111112</v>
      </c>
      <c r="B771" s="145" t="s">
        <v>165</v>
      </c>
      <c r="C771">
        <v>770</v>
      </c>
      <c r="D771">
        <v>1</v>
      </c>
      <c r="E771">
        <v>1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0.76578466435185188</v>
      </c>
      <c r="B772" s="145" t="s">
        <v>165</v>
      </c>
      <c r="C772">
        <v>771</v>
      </c>
      <c r="D772">
        <v>1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0.76578478009259254</v>
      </c>
      <c r="B773" s="145" t="s">
        <v>2</v>
      </c>
      <c r="C773">
        <v>772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0.76578489583333331</v>
      </c>
      <c r="B774" s="145" t="s">
        <v>2</v>
      </c>
      <c r="C774">
        <v>773</v>
      </c>
      <c r="D774">
        <v>0</v>
      </c>
      <c r="E774">
        <v>1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0.76578501157407408</v>
      </c>
      <c r="B775" s="145" t="s">
        <v>165</v>
      </c>
      <c r="C775">
        <v>774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0.76578512731481485</v>
      </c>
      <c r="B776" s="145" t="s">
        <v>165</v>
      </c>
      <c r="C776">
        <v>775</v>
      </c>
      <c r="D776">
        <v>1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0.76578524305555551</v>
      </c>
      <c r="B777" s="145" t="s">
        <v>165</v>
      </c>
      <c r="C777">
        <v>776</v>
      </c>
      <c r="D777">
        <v>1</v>
      </c>
      <c r="E777">
        <v>1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0.76578535879629628</v>
      </c>
      <c r="B778" s="145" t="s">
        <v>165</v>
      </c>
      <c r="C778">
        <v>777</v>
      </c>
      <c r="D778">
        <v>1</v>
      </c>
      <c r="E778">
        <v>1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0.76578547453703705</v>
      </c>
      <c r="B779" s="145" t="s">
        <v>2</v>
      </c>
      <c r="C779">
        <v>778</v>
      </c>
      <c r="D779">
        <v>0</v>
      </c>
      <c r="E779">
        <v>1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0.76578559027777782</v>
      </c>
      <c r="B780" s="145" t="s">
        <v>2</v>
      </c>
      <c r="C780">
        <v>779</v>
      </c>
      <c r="D780">
        <v>0</v>
      </c>
      <c r="E780">
        <v>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0.76578570601851847</v>
      </c>
      <c r="B781" s="145" t="s">
        <v>165</v>
      </c>
      <c r="C781">
        <v>780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0.76578582175925924</v>
      </c>
      <c r="B782" s="145" t="s">
        <v>165</v>
      </c>
      <c r="C782">
        <v>781</v>
      </c>
      <c r="D782">
        <v>1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0.76578593750000001</v>
      </c>
      <c r="B783" s="145" t="s">
        <v>165</v>
      </c>
      <c r="C783">
        <v>782</v>
      </c>
      <c r="D783">
        <v>1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0.76578605324074078</v>
      </c>
      <c r="B784" s="145" t="s">
        <v>165</v>
      </c>
      <c r="C784">
        <v>783</v>
      </c>
      <c r="D784">
        <v>1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0.76578616898148144</v>
      </c>
      <c r="B785" s="145" t="s">
        <v>2</v>
      </c>
      <c r="C785">
        <v>784</v>
      </c>
      <c r="D785">
        <v>0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0.76578628472222221</v>
      </c>
      <c r="B786" s="145" t="s">
        <v>2</v>
      </c>
      <c r="C786">
        <v>785</v>
      </c>
      <c r="D786">
        <v>0</v>
      </c>
      <c r="E786">
        <v>1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0.76578640046296298</v>
      </c>
      <c r="B787" s="145" t="s">
        <v>165</v>
      </c>
      <c r="C787">
        <v>786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0.76578651620370375</v>
      </c>
      <c r="B788" s="145" t="s">
        <v>165</v>
      </c>
      <c r="C788">
        <v>787</v>
      </c>
      <c r="D788">
        <v>1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0.76578663194444441</v>
      </c>
      <c r="B789" s="145" t="s">
        <v>165</v>
      </c>
      <c r="C789">
        <v>788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0.76578674768518518</v>
      </c>
      <c r="B790" s="145" t="s">
        <v>165</v>
      </c>
      <c r="C790">
        <v>789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0.76578686342592595</v>
      </c>
      <c r="B791" s="145" t="s">
        <v>2</v>
      </c>
      <c r="C791">
        <v>790</v>
      </c>
      <c r="D791">
        <v>0</v>
      </c>
      <c r="E791">
        <v>1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0.76578697916666671</v>
      </c>
      <c r="B792" s="145" t="s">
        <v>2</v>
      </c>
      <c r="C792">
        <v>791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0.76578709490740737</v>
      </c>
      <c r="B793" s="145" t="s">
        <v>165</v>
      </c>
      <c r="C793">
        <v>792</v>
      </c>
      <c r="D793">
        <v>1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0.76578721064814814</v>
      </c>
      <c r="B794" s="145" t="s">
        <v>165</v>
      </c>
      <c r="C794">
        <v>793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0.76578732638888891</v>
      </c>
      <c r="B795" s="145" t="s">
        <v>165</v>
      </c>
      <c r="C795">
        <v>794</v>
      </c>
      <c r="D795">
        <v>1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0.76578744212962968</v>
      </c>
      <c r="B796" s="145" t="s">
        <v>165</v>
      </c>
      <c r="C796">
        <v>795</v>
      </c>
      <c r="D796">
        <v>1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0.76578755787037034</v>
      </c>
      <c r="B797" s="145" t="s">
        <v>2</v>
      </c>
      <c r="C797">
        <v>796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0.76578767361111111</v>
      </c>
      <c r="B798" s="145" t="s">
        <v>2</v>
      </c>
      <c r="C798">
        <v>797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0.76578778935185188</v>
      </c>
      <c r="B799" s="145" t="s">
        <v>165</v>
      </c>
      <c r="C799">
        <v>798</v>
      </c>
      <c r="D799">
        <v>1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0.76578790509259265</v>
      </c>
      <c r="B800" s="145" t="s">
        <v>165</v>
      </c>
      <c r="C800">
        <v>799</v>
      </c>
      <c r="D800">
        <v>1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0.7657880208333333</v>
      </c>
      <c r="B801" s="145" t="s">
        <v>165</v>
      </c>
      <c r="C801">
        <v>800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0.76578813657407407</v>
      </c>
      <c r="B802" s="145" t="s">
        <v>165</v>
      </c>
      <c r="C802">
        <v>801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0.76578825231481484</v>
      </c>
      <c r="B803" s="145" t="s">
        <v>2</v>
      </c>
      <c r="C803">
        <v>802</v>
      </c>
      <c r="D803">
        <v>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0.7657883680555555</v>
      </c>
      <c r="B804" s="145" t="s">
        <v>2</v>
      </c>
      <c r="C804">
        <v>803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0.76578848379629627</v>
      </c>
      <c r="B805" s="145" t="s">
        <v>165</v>
      </c>
      <c r="C805">
        <v>804</v>
      </c>
      <c r="D805">
        <v>1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0.76578859953703704</v>
      </c>
      <c r="B806" s="145" t="s">
        <v>165</v>
      </c>
      <c r="C806">
        <v>805</v>
      </c>
      <c r="D806">
        <v>1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0.76578871527777781</v>
      </c>
      <c r="B807" s="145" t="s">
        <v>165</v>
      </c>
      <c r="C807">
        <v>806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0.76578883101851847</v>
      </c>
      <c r="B808" s="145" t="s">
        <v>165</v>
      </c>
      <c r="C808">
        <v>807</v>
      </c>
      <c r="D808">
        <v>1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0.76578894675925924</v>
      </c>
      <c r="B809" s="145" t="s">
        <v>2</v>
      </c>
      <c r="C809">
        <v>808</v>
      </c>
      <c r="D809">
        <v>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0.76578905092592597</v>
      </c>
      <c r="B810" s="145" t="s">
        <v>2</v>
      </c>
      <c r="C810">
        <v>809</v>
      </c>
      <c r="D810">
        <v>0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0.76578916666666663</v>
      </c>
      <c r="B811" s="145" t="s">
        <v>165</v>
      </c>
      <c r="C811">
        <v>810</v>
      </c>
      <c r="D811">
        <v>1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0.7657892824074074</v>
      </c>
      <c r="B812" s="145" t="s">
        <v>165</v>
      </c>
      <c r="C812">
        <v>811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0.76578939814814817</v>
      </c>
      <c r="B813" s="145" t="s">
        <v>165</v>
      </c>
      <c r="C813">
        <v>812</v>
      </c>
      <c r="D813">
        <v>1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0.76578951388888894</v>
      </c>
      <c r="B814" s="145" t="s">
        <v>165</v>
      </c>
      <c r="C814">
        <v>813</v>
      </c>
      <c r="D814">
        <v>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0.7657896296296296</v>
      </c>
      <c r="B815" s="145" t="s">
        <v>2</v>
      </c>
      <c r="C815">
        <v>814</v>
      </c>
      <c r="D815">
        <v>0</v>
      </c>
      <c r="E815">
        <v>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0.76578974537037037</v>
      </c>
      <c r="B816" s="145" t="s">
        <v>2</v>
      </c>
      <c r="C816">
        <v>815</v>
      </c>
      <c r="D816">
        <v>0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0.76578986111111114</v>
      </c>
      <c r="B817" s="145" t="s">
        <v>165</v>
      </c>
      <c r="C817">
        <v>816</v>
      </c>
      <c r="D817">
        <v>1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0.76578997685185191</v>
      </c>
      <c r="B818" s="145" t="s">
        <v>165</v>
      </c>
      <c r="C818">
        <v>817</v>
      </c>
      <c r="D818">
        <v>1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0.76579009259259256</v>
      </c>
      <c r="B819" s="145" t="s">
        <v>165</v>
      </c>
      <c r="C819">
        <v>818</v>
      </c>
      <c r="D819">
        <v>1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0.76579020833333333</v>
      </c>
      <c r="B820" s="145" t="s">
        <v>165</v>
      </c>
      <c r="C820">
        <v>819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0.7657903240740741</v>
      </c>
      <c r="B821" s="145" t="s">
        <v>2</v>
      </c>
      <c r="C821">
        <v>820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0.76579043981481476</v>
      </c>
      <c r="B822" s="145" t="s">
        <v>2</v>
      </c>
      <c r="C822">
        <v>821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0.76579055555555553</v>
      </c>
      <c r="B823" s="145" t="s">
        <v>165</v>
      </c>
      <c r="C823">
        <v>822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0.7657906712962963</v>
      </c>
      <c r="B824" s="145" t="s">
        <v>165</v>
      </c>
      <c r="C824">
        <v>823</v>
      </c>
      <c r="D824">
        <v>1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0.76579078703703707</v>
      </c>
      <c r="B825" s="145" t="s">
        <v>165</v>
      </c>
      <c r="C825">
        <v>824</v>
      </c>
      <c r="D825">
        <v>1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0.76579090277777773</v>
      </c>
      <c r="B826" s="145" t="s">
        <v>165</v>
      </c>
      <c r="C826">
        <v>825</v>
      </c>
      <c r="D826">
        <v>1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0.7657910185185185</v>
      </c>
      <c r="B827" s="145" t="s">
        <v>2</v>
      </c>
      <c r="C827">
        <v>826</v>
      </c>
      <c r="D827">
        <v>0</v>
      </c>
      <c r="E827">
        <v>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0.76579113425925927</v>
      </c>
      <c r="B828" s="145" t="s">
        <v>2</v>
      </c>
      <c r="C828">
        <v>827</v>
      </c>
      <c r="D828">
        <v>0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0.76579125000000003</v>
      </c>
      <c r="B829" s="145" t="s">
        <v>165</v>
      </c>
      <c r="C829">
        <v>828</v>
      </c>
      <c r="D829">
        <v>1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0.76579136574074069</v>
      </c>
      <c r="B830" s="145" t="s">
        <v>165</v>
      </c>
      <c r="C830">
        <v>829</v>
      </c>
      <c r="D830">
        <v>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0.76579148148148146</v>
      </c>
      <c r="B831" s="145" t="s">
        <v>165</v>
      </c>
      <c r="C831">
        <v>830</v>
      </c>
      <c r="D831">
        <v>1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0.76579159722222223</v>
      </c>
      <c r="B832" s="145" t="s">
        <v>165</v>
      </c>
      <c r="C832">
        <v>831</v>
      </c>
      <c r="D832">
        <v>1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0.765791712962963</v>
      </c>
      <c r="B833" s="145" t="s">
        <v>2</v>
      </c>
      <c r="C833">
        <v>832</v>
      </c>
      <c r="D833">
        <v>0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0.76579182870370366</v>
      </c>
      <c r="B834" s="145" t="s">
        <v>2</v>
      </c>
      <c r="C834">
        <v>833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0.76579194444444443</v>
      </c>
      <c r="B835" s="145" t="s">
        <v>165</v>
      </c>
      <c r="C835">
        <v>834</v>
      </c>
      <c r="D835">
        <v>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0.7657920601851852</v>
      </c>
      <c r="B836" s="145" t="s">
        <v>165</v>
      </c>
      <c r="C836">
        <v>835</v>
      </c>
      <c r="D836">
        <v>1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0.76579217592592597</v>
      </c>
      <c r="B837" s="145" t="s">
        <v>165</v>
      </c>
      <c r="C837">
        <v>836</v>
      </c>
      <c r="D837">
        <v>1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0.76579229166666662</v>
      </c>
      <c r="B838" s="145" t="s">
        <v>165</v>
      </c>
      <c r="C838">
        <v>837</v>
      </c>
      <c r="D838">
        <v>1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0.76579240740740739</v>
      </c>
      <c r="B839" s="145" t="s">
        <v>2</v>
      </c>
      <c r="C839">
        <v>838</v>
      </c>
      <c r="D839">
        <v>0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0.76579252314814816</v>
      </c>
      <c r="B840" s="145" t="s">
        <v>2</v>
      </c>
      <c r="C840">
        <v>839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0.76579263888888893</v>
      </c>
      <c r="B841" s="145" t="s">
        <v>165</v>
      </c>
      <c r="C841">
        <v>840</v>
      </c>
      <c r="D841">
        <v>1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0.76579275462962959</v>
      </c>
      <c r="B842" s="145" t="s">
        <v>165</v>
      </c>
      <c r="C842">
        <v>841</v>
      </c>
      <c r="D842">
        <v>1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0.76579287037037036</v>
      </c>
      <c r="B843" s="145" t="s">
        <v>165</v>
      </c>
      <c r="C843">
        <v>842</v>
      </c>
      <c r="D843">
        <v>1</v>
      </c>
      <c r="E843">
        <v>1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0.76579298611111113</v>
      </c>
      <c r="B844" s="145" t="s">
        <v>165</v>
      </c>
      <c r="C844">
        <v>843</v>
      </c>
      <c r="D844">
        <v>1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0.7657931018518519</v>
      </c>
      <c r="B845" s="145" t="s">
        <v>2</v>
      </c>
      <c r="C845">
        <v>844</v>
      </c>
      <c r="D845">
        <v>0</v>
      </c>
      <c r="E845">
        <v>1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0.76579321759259256</v>
      </c>
      <c r="B846" s="145" t="s">
        <v>2</v>
      </c>
      <c r="C846">
        <v>845</v>
      </c>
      <c r="D846">
        <v>0</v>
      </c>
      <c r="E846">
        <v>1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0.76579333333333333</v>
      </c>
      <c r="B847" s="145" t="s">
        <v>165</v>
      </c>
      <c r="C847">
        <v>846</v>
      </c>
      <c r="D847">
        <v>1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0.7657934490740741</v>
      </c>
      <c r="B848" s="145" t="s">
        <v>165</v>
      </c>
      <c r="C848">
        <v>847</v>
      </c>
      <c r="D848">
        <v>1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0.76579356481481486</v>
      </c>
      <c r="B849" s="145" t="s">
        <v>165</v>
      </c>
      <c r="C849">
        <v>848</v>
      </c>
      <c r="D849">
        <v>1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0.76579368055555552</v>
      </c>
      <c r="B850" s="145" t="s">
        <v>165</v>
      </c>
      <c r="C850">
        <v>849</v>
      </c>
      <c r="D850">
        <v>1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0.76579379629629629</v>
      </c>
      <c r="B851" s="145" t="s">
        <v>2</v>
      </c>
      <c r="C851">
        <v>850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0.76579391203703706</v>
      </c>
      <c r="B852" s="145" t="s">
        <v>2</v>
      </c>
      <c r="C852">
        <v>851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0.76579402777777783</v>
      </c>
      <c r="B853" s="145" t="s">
        <v>165</v>
      </c>
      <c r="C853">
        <v>852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0.76579414351851849</v>
      </c>
      <c r="B854" s="145" t="s">
        <v>165</v>
      </c>
      <c r="C854">
        <v>853</v>
      </c>
      <c r="D854">
        <v>1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0.76579425925925926</v>
      </c>
      <c r="B855" s="145" t="s">
        <v>165</v>
      </c>
      <c r="C855">
        <v>854</v>
      </c>
      <c r="D855">
        <v>1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0.76579437500000003</v>
      </c>
      <c r="B856" s="145" t="s">
        <v>165</v>
      </c>
      <c r="C856">
        <v>855</v>
      </c>
      <c r="D856">
        <v>1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0.76579449074074069</v>
      </c>
      <c r="B857" s="145" t="s">
        <v>2</v>
      </c>
      <c r="C857">
        <v>856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0.76579460648148145</v>
      </c>
      <c r="B858" s="145" t="s">
        <v>2</v>
      </c>
      <c r="C858">
        <v>857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0.76579472222222222</v>
      </c>
      <c r="B859" s="145" t="s">
        <v>165</v>
      </c>
      <c r="C859">
        <v>858</v>
      </c>
      <c r="D859">
        <v>1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0.76579483796296299</v>
      </c>
      <c r="B860" s="145" t="s">
        <v>165</v>
      </c>
      <c r="C860">
        <v>859</v>
      </c>
      <c r="D860">
        <v>1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0.76579495370370365</v>
      </c>
      <c r="B861" s="145" t="s">
        <v>165</v>
      </c>
      <c r="C861">
        <v>860</v>
      </c>
      <c r="D861">
        <v>1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0.76579506944444442</v>
      </c>
      <c r="B862" s="145" t="s">
        <v>165</v>
      </c>
      <c r="C862">
        <v>861</v>
      </c>
      <c r="D862">
        <v>1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0.76579518518518519</v>
      </c>
      <c r="B863" s="145" t="s">
        <v>2</v>
      </c>
      <c r="C863">
        <v>862</v>
      </c>
      <c r="D863">
        <v>0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0.76579541666666662</v>
      </c>
      <c r="B864" s="145" t="s">
        <v>165</v>
      </c>
      <c r="C864">
        <v>863</v>
      </c>
      <c r="D864">
        <v>1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0.76579553240740739</v>
      </c>
      <c r="B865" s="145" t="s">
        <v>165</v>
      </c>
      <c r="C865">
        <v>864</v>
      </c>
      <c r="D865">
        <v>1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0.76579564814814816</v>
      </c>
      <c r="B866" s="145" t="s">
        <v>165</v>
      </c>
      <c r="C866">
        <v>865</v>
      </c>
      <c r="D866">
        <v>1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0.76579576388888893</v>
      </c>
      <c r="B867" s="145" t="s">
        <v>165</v>
      </c>
      <c r="C867">
        <v>866</v>
      </c>
      <c r="D867">
        <v>1</v>
      </c>
      <c r="E867">
        <v>1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0.76579587962962958</v>
      </c>
      <c r="B868" s="145" t="s">
        <v>2</v>
      </c>
      <c r="C868">
        <v>867</v>
      </c>
      <c r="D868">
        <v>0</v>
      </c>
      <c r="E868">
        <v>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0.76579599537037035</v>
      </c>
      <c r="B869" s="145" t="s">
        <v>2</v>
      </c>
      <c r="C869">
        <v>868</v>
      </c>
      <c r="D869">
        <v>0</v>
      </c>
      <c r="E869">
        <v>1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0.76579611111111112</v>
      </c>
      <c r="B870" s="145" t="s">
        <v>165</v>
      </c>
      <c r="C870">
        <v>869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0.76579622685185189</v>
      </c>
      <c r="B871" s="145" t="s">
        <v>165</v>
      </c>
      <c r="C871">
        <v>870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0.76579633101851852</v>
      </c>
      <c r="B872" s="145" t="s">
        <v>165</v>
      </c>
      <c r="C872">
        <v>871</v>
      </c>
      <c r="D872">
        <v>1</v>
      </c>
      <c r="E872">
        <v>1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0.76579644675925929</v>
      </c>
      <c r="B873" s="145" t="s">
        <v>165</v>
      </c>
      <c r="C873">
        <v>872</v>
      </c>
      <c r="D873">
        <v>1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0.76579656250000006</v>
      </c>
      <c r="B874" s="145" t="s">
        <v>2</v>
      </c>
      <c r="C874">
        <v>873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0.76579667824074071</v>
      </c>
      <c r="B875" s="145" t="s">
        <v>2</v>
      </c>
      <c r="C875">
        <v>874</v>
      </c>
      <c r="D875">
        <v>0</v>
      </c>
      <c r="E875">
        <v>1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0.76579679398148148</v>
      </c>
      <c r="B876" s="145" t="s">
        <v>165</v>
      </c>
      <c r="C876">
        <v>875</v>
      </c>
      <c r="D876">
        <v>1</v>
      </c>
      <c r="E876">
        <v>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0.76579690972222225</v>
      </c>
      <c r="B877" s="145" t="s">
        <v>165</v>
      </c>
      <c r="C877">
        <v>876</v>
      </c>
      <c r="D877">
        <v>1</v>
      </c>
      <c r="E877">
        <v>1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0.76579702546296291</v>
      </c>
      <c r="B878" s="145" t="s">
        <v>165</v>
      </c>
      <c r="C878">
        <v>877</v>
      </c>
      <c r="D878">
        <v>1</v>
      </c>
      <c r="E878">
        <v>1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0.76579714120370368</v>
      </c>
      <c r="B879" s="145" t="s">
        <v>165</v>
      </c>
      <c r="C879">
        <v>878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0.76579725694444445</v>
      </c>
      <c r="B880" s="145" t="s">
        <v>2</v>
      </c>
      <c r="C880">
        <v>879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0.76579737268518522</v>
      </c>
      <c r="B881" s="145" t="s">
        <v>2</v>
      </c>
      <c r="C881">
        <v>880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0.76579748842592588</v>
      </c>
      <c r="B882" s="145" t="s">
        <v>165</v>
      </c>
      <c r="C882">
        <v>881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0.76579760416666665</v>
      </c>
      <c r="B883" s="145" t="s">
        <v>165</v>
      </c>
      <c r="C883">
        <v>882</v>
      </c>
      <c r="D883">
        <v>1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0.76579771990740741</v>
      </c>
      <c r="B884" s="145" t="s">
        <v>165</v>
      </c>
      <c r="C884">
        <v>883</v>
      </c>
      <c r="D884">
        <v>1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0.76579783564814818</v>
      </c>
      <c r="B885" s="145" t="s">
        <v>165</v>
      </c>
      <c r="C885">
        <v>884</v>
      </c>
      <c r="D885">
        <v>1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0.76579795138888884</v>
      </c>
      <c r="B886" s="145" t="s">
        <v>2</v>
      </c>
      <c r="C886">
        <v>885</v>
      </c>
      <c r="D886">
        <v>0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0.76579806712962961</v>
      </c>
      <c r="B887" s="145" t="s">
        <v>2</v>
      </c>
      <c r="C887">
        <v>886</v>
      </c>
      <c r="D887">
        <v>0</v>
      </c>
      <c r="E887">
        <v>1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0.76579818287037038</v>
      </c>
      <c r="B888" s="145" t="s">
        <v>165</v>
      </c>
      <c r="C888">
        <v>887</v>
      </c>
      <c r="D888">
        <v>1</v>
      </c>
      <c r="E888">
        <v>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0.76579829861111115</v>
      </c>
      <c r="B889" s="145" t="s">
        <v>165</v>
      </c>
      <c r="C889">
        <v>888</v>
      </c>
      <c r="D889">
        <v>1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0.76579841435185181</v>
      </c>
      <c r="B890" s="145" t="s">
        <v>165</v>
      </c>
      <c r="C890">
        <v>889</v>
      </c>
      <c r="D890">
        <v>1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0.76579853009259258</v>
      </c>
      <c r="B891" s="145" t="s">
        <v>165</v>
      </c>
      <c r="C891">
        <v>890</v>
      </c>
      <c r="D891">
        <v>1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0.76579864583333335</v>
      </c>
      <c r="B892" s="145" t="s">
        <v>2</v>
      </c>
      <c r="C892">
        <v>891</v>
      </c>
      <c r="D892">
        <v>0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0.76579876157407412</v>
      </c>
      <c r="B893" s="145" t="s">
        <v>2</v>
      </c>
      <c r="C893">
        <v>892</v>
      </c>
      <c r="D893">
        <v>0</v>
      </c>
      <c r="E893">
        <v>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0.76579887731481477</v>
      </c>
      <c r="B894" s="145" t="s">
        <v>165</v>
      </c>
      <c r="C894">
        <v>893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0.76579899305555554</v>
      </c>
      <c r="B895" s="145" t="s">
        <v>165</v>
      </c>
      <c r="C895">
        <v>894</v>
      </c>
      <c r="D895">
        <v>1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0.76579910879629631</v>
      </c>
      <c r="B896" s="145" t="s">
        <v>165</v>
      </c>
      <c r="C896">
        <v>895</v>
      </c>
      <c r="D896">
        <v>1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0.76579922453703708</v>
      </c>
      <c r="B897" s="145" t="s">
        <v>165</v>
      </c>
      <c r="C897">
        <v>896</v>
      </c>
      <c r="D897">
        <v>1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0.76579934027777774</v>
      </c>
      <c r="B898" s="145" t="s">
        <v>2</v>
      </c>
      <c r="C898">
        <v>897</v>
      </c>
      <c r="D898">
        <v>0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0.76579945601851851</v>
      </c>
      <c r="B899" s="145" t="s">
        <v>2</v>
      </c>
      <c r="C899">
        <v>898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0.76579957175925928</v>
      </c>
      <c r="B900" s="145" t="s">
        <v>165</v>
      </c>
      <c r="C900">
        <v>899</v>
      </c>
      <c r="D900">
        <v>1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0.76579968750000005</v>
      </c>
      <c r="B901" s="145" t="s">
        <v>165</v>
      </c>
      <c r="C901">
        <v>900</v>
      </c>
      <c r="D901">
        <v>1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0.76579980324074071</v>
      </c>
      <c r="B902" s="145" t="s">
        <v>165</v>
      </c>
      <c r="C902">
        <v>901</v>
      </c>
      <c r="D902">
        <v>1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0.76579991898148148</v>
      </c>
      <c r="B903" s="145" t="s">
        <v>165</v>
      </c>
      <c r="C903">
        <v>902</v>
      </c>
      <c r="D903">
        <v>1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0.76580003472222224</v>
      </c>
      <c r="B904" s="145" t="s">
        <v>2</v>
      </c>
      <c r="C904">
        <v>903</v>
      </c>
      <c r="D904">
        <v>0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0.76580015046296301</v>
      </c>
      <c r="B905" s="145" t="s">
        <v>2</v>
      </c>
      <c r="C905">
        <v>904</v>
      </c>
      <c r="D905">
        <v>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0.76580026620370367</v>
      </c>
      <c r="B906" s="145" t="s">
        <v>165</v>
      </c>
      <c r="C906">
        <v>905</v>
      </c>
      <c r="D906">
        <v>1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0.76580038194444444</v>
      </c>
      <c r="B907" s="145" t="s">
        <v>165</v>
      </c>
      <c r="C907">
        <v>906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0.76580049768518521</v>
      </c>
      <c r="B908" s="145" t="s">
        <v>165</v>
      </c>
      <c r="C908">
        <v>907</v>
      </c>
      <c r="D908">
        <v>1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0.76580061342592598</v>
      </c>
      <c r="B909" s="145" t="s">
        <v>165</v>
      </c>
      <c r="C909">
        <v>908</v>
      </c>
      <c r="D909">
        <v>1</v>
      </c>
      <c r="E909">
        <v>1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0.76580072916666664</v>
      </c>
      <c r="B910" s="145" t="s">
        <v>2</v>
      </c>
      <c r="C910">
        <v>909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0.76580084490740741</v>
      </c>
      <c r="B911" s="145" t="s">
        <v>2</v>
      </c>
      <c r="C911">
        <v>910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0.76580096064814818</v>
      </c>
      <c r="B912" s="145" t="s">
        <v>165</v>
      </c>
      <c r="C912">
        <v>911</v>
      </c>
      <c r="D912">
        <v>1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0.76580107638888884</v>
      </c>
      <c r="B913" s="145" t="s">
        <v>165</v>
      </c>
      <c r="C913">
        <v>912</v>
      </c>
      <c r="D913">
        <v>1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0.7658011921296296</v>
      </c>
      <c r="B914" s="145" t="s">
        <v>165</v>
      </c>
      <c r="C914">
        <v>913</v>
      </c>
      <c r="D914">
        <v>1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0.76580130787037037</v>
      </c>
      <c r="B915" s="145" t="s">
        <v>165</v>
      </c>
      <c r="C915">
        <v>914</v>
      </c>
      <c r="D915">
        <v>1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0.76580142361111114</v>
      </c>
      <c r="B916" s="145" t="s">
        <v>2</v>
      </c>
      <c r="C916">
        <v>915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0.7658015393518518</v>
      </c>
      <c r="B917" s="145" t="s">
        <v>2</v>
      </c>
      <c r="C917">
        <v>916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0.76580165509259257</v>
      </c>
      <c r="B918" s="145" t="s">
        <v>165</v>
      </c>
      <c r="C918">
        <v>917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0.76580177083333334</v>
      </c>
      <c r="B919" s="145" t="s">
        <v>165</v>
      </c>
      <c r="C919">
        <v>918</v>
      </c>
      <c r="D919">
        <v>1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0.76580188657407411</v>
      </c>
      <c r="B920" s="145" t="s">
        <v>165</v>
      </c>
      <c r="C920">
        <v>919</v>
      </c>
      <c r="D920">
        <v>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0.76580200231481477</v>
      </c>
      <c r="B921" s="145" t="s">
        <v>165</v>
      </c>
      <c r="C921">
        <v>920</v>
      </c>
      <c r="D921">
        <v>1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0.76580211805555554</v>
      </c>
      <c r="B922" s="145" t="s">
        <v>2</v>
      </c>
      <c r="C922">
        <v>921</v>
      </c>
      <c r="D922">
        <v>0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0.76580223379629631</v>
      </c>
      <c r="B923" s="145" t="s">
        <v>2</v>
      </c>
      <c r="C923">
        <v>922</v>
      </c>
      <c r="D923">
        <v>0</v>
      </c>
      <c r="E923">
        <v>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0.76580234953703707</v>
      </c>
      <c r="B924" s="145" t="s">
        <v>165</v>
      </c>
      <c r="C924">
        <v>923</v>
      </c>
      <c r="D924">
        <v>1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0.76580246527777773</v>
      </c>
      <c r="B925" s="145" t="s">
        <v>165</v>
      </c>
      <c r="C925">
        <v>924</v>
      </c>
      <c r="D925">
        <v>1</v>
      </c>
      <c r="E925">
        <v>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0.7658025810185185</v>
      </c>
      <c r="B926" s="145" t="s">
        <v>165</v>
      </c>
      <c r="C926">
        <v>925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0.76580269675925927</v>
      </c>
      <c r="B927" s="145" t="s">
        <v>165</v>
      </c>
      <c r="C927">
        <v>926</v>
      </c>
      <c r="D927">
        <v>1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0.76580281250000004</v>
      </c>
      <c r="B928" s="145" t="s">
        <v>2</v>
      </c>
      <c r="C928">
        <v>927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0.7658029282407407</v>
      </c>
      <c r="B929" s="145" t="s">
        <v>2</v>
      </c>
      <c r="C929">
        <v>928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0.76580304398148147</v>
      </c>
      <c r="B930" s="145" t="s">
        <v>165</v>
      </c>
      <c r="C930">
        <v>929</v>
      </c>
      <c r="D930">
        <v>1</v>
      </c>
      <c r="E930">
        <v>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0.76580315972222224</v>
      </c>
      <c r="B931" s="145" t="s">
        <v>165</v>
      </c>
      <c r="C931">
        <v>930</v>
      </c>
      <c r="D931">
        <v>1</v>
      </c>
      <c r="E931">
        <v>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0.76580327546296301</v>
      </c>
      <c r="B932" s="145" t="s">
        <v>165</v>
      </c>
      <c r="C932">
        <v>931</v>
      </c>
      <c r="D932">
        <v>1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0.76580337962962963</v>
      </c>
      <c r="B933" s="145" t="s">
        <v>165</v>
      </c>
      <c r="C933">
        <v>932</v>
      </c>
      <c r="D933">
        <v>1</v>
      </c>
      <c r="E933">
        <v>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0.7658034953703704</v>
      </c>
      <c r="B934" s="145" t="s">
        <v>2</v>
      </c>
      <c r="C934">
        <v>933</v>
      </c>
      <c r="D934">
        <v>0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0.7658036226851852</v>
      </c>
      <c r="B935" s="145" t="s">
        <v>2</v>
      </c>
      <c r="C935">
        <v>934</v>
      </c>
      <c r="D935">
        <v>0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0.76580372685185183</v>
      </c>
      <c r="B936" s="145" t="s">
        <v>165</v>
      </c>
      <c r="C936">
        <v>935</v>
      </c>
      <c r="D936">
        <v>1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0.7658038425925926</v>
      </c>
      <c r="B937" s="145" t="s">
        <v>165</v>
      </c>
      <c r="C937">
        <v>936</v>
      </c>
      <c r="D937">
        <v>1</v>
      </c>
      <c r="E937">
        <v>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0.76580395833333337</v>
      </c>
      <c r="B938" s="145" t="s">
        <v>165</v>
      </c>
      <c r="C938">
        <v>937</v>
      </c>
      <c r="D938">
        <v>1</v>
      </c>
      <c r="E938">
        <v>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0.76580407407407403</v>
      </c>
      <c r="B939" s="145" t="s">
        <v>165</v>
      </c>
      <c r="C939">
        <v>938</v>
      </c>
      <c r="D939">
        <v>1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0.7658041898148148</v>
      </c>
      <c r="B940" s="145" t="s">
        <v>2</v>
      </c>
      <c r="C940">
        <v>939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0.76580430555555556</v>
      </c>
      <c r="B941" s="145" t="s">
        <v>2</v>
      </c>
      <c r="C941">
        <v>940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0.76580442129629633</v>
      </c>
      <c r="B942" s="145" t="s">
        <v>165</v>
      </c>
      <c r="C942">
        <v>941</v>
      </c>
      <c r="D942">
        <v>1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0.76580453703703699</v>
      </c>
      <c r="B943" s="145" t="s">
        <v>165</v>
      </c>
      <c r="C943">
        <v>942</v>
      </c>
      <c r="D943">
        <v>1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0.76580465277777776</v>
      </c>
      <c r="B944" s="145" t="s">
        <v>165</v>
      </c>
      <c r="C944">
        <v>943</v>
      </c>
      <c r="D944">
        <v>1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0.76580476851851853</v>
      </c>
      <c r="B945" s="145" t="s">
        <v>165</v>
      </c>
      <c r="C945">
        <v>944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0.7658048842592593</v>
      </c>
      <c r="B946" s="145" t="s">
        <v>2</v>
      </c>
      <c r="C946">
        <v>945</v>
      </c>
      <c r="D946">
        <v>0</v>
      </c>
      <c r="E946">
        <v>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0.76580499999999996</v>
      </c>
      <c r="B947" s="145" t="s">
        <v>2</v>
      </c>
      <c r="C947">
        <v>946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0.76580511574074073</v>
      </c>
      <c r="B948" s="145" t="s">
        <v>165</v>
      </c>
      <c r="C948">
        <v>947</v>
      </c>
      <c r="D948">
        <v>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0.7658052314814815</v>
      </c>
      <c r="B949" s="145" t="s">
        <v>165</v>
      </c>
      <c r="C949">
        <v>948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0.76580534722222227</v>
      </c>
      <c r="B950" s="145" t="s">
        <v>165</v>
      </c>
      <c r="C950">
        <v>949</v>
      </c>
      <c r="D950">
        <v>1</v>
      </c>
      <c r="E950">
        <v>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0.76580546296296292</v>
      </c>
      <c r="B951" s="145" t="s">
        <v>165</v>
      </c>
      <c r="C951">
        <v>950</v>
      </c>
      <c r="D951">
        <v>1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0.76580557870370369</v>
      </c>
      <c r="B952" s="145" t="s">
        <v>2</v>
      </c>
      <c r="C952">
        <v>951</v>
      </c>
      <c r="D952">
        <v>0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0.76580569444444446</v>
      </c>
      <c r="B953" s="145" t="s">
        <v>2</v>
      </c>
      <c r="C953">
        <v>952</v>
      </c>
      <c r="D953">
        <v>0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0.76580581018518523</v>
      </c>
      <c r="B954" s="145" t="s">
        <v>165</v>
      </c>
      <c r="C954">
        <v>953</v>
      </c>
      <c r="D954">
        <v>1</v>
      </c>
      <c r="E954">
        <v>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0.76580592592592589</v>
      </c>
      <c r="B955" s="145" t="s">
        <v>165</v>
      </c>
      <c r="C955">
        <v>954</v>
      </c>
      <c r="D955">
        <v>1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0.76580604166666666</v>
      </c>
      <c r="B956" s="145" t="s">
        <v>165</v>
      </c>
      <c r="C956">
        <v>955</v>
      </c>
      <c r="D956">
        <v>1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0.76580615740740743</v>
      </c>
      <c r="B957" s="145" t="s">
        <v>165</v>
      </c>
      <c r="C957">
        <v>956</v>
      </c>
      <c r="D957">
        <v>1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0.7658062731481482</v>
      </c>
      <c r="B958" s="145" t="s">
        <v>2</v>
      </c>
      <c r="C958">
        <v>957</v>
      </c>
      <c r="D958">
        <v>0</v>
      </c>
      <c r="E958">
        <v>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0.76580638888888886</v>
      </c>
      <c r="B959" s="145" t="s">
        <v>2</v>
      </c>
      <c r="C959">
        <v>958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0.76580650462962963</v>
      </c>
      <c r="B960" s="145" t="s">
        <v>165</v>
      </c>
      <c r="C960">
        <v>959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0.76580662037037039</v>
      </c>
      <c r="B961" s="145" t="s">
        <v>165</v>
      </c>
      <c r="C961">
        <v>960</v>
      </c>
      <c r="D961">
        <v>1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0.76580673611111116</v>
      </c>
      <c r="B962" s="145" t="s">
        <v>165</v>
      </c>
      <c r="C962">
        <v>961</v>
      </c>
      <c r="D962">
        <v>1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0.76580696759259259</v>
      </c>
      <c r="B963" s="145" t="s">
        <v>2</v>
      </c>
      <c r="C963">
        <v>962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0.76580708333333336</v>
      </c>
      <c r="B964" s="145" t="s">
        <v>2</v>
      </c>
      <c r="C964">
        <v>963</v>
      </c>
      <c r="D964">
        <v>0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0.76580719907407402</v>
      </c>
      <c r="B965" s="145" t="s">
        <v>165</v>
      </c>
      <c r="C965">
        <v>964</v>
      </c>
      <c r="D965">
        <v>1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0.76580731481481479</v>
      </c>
      <c r="B966" s="145" t="s">
        <v>165</v>
      </c>
      <c r="C966">
        <v>965</v>
      </c>
      <c r="D966">
        <v>1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0.76580743055555556</v>
      </c>
      <c r="B967" s="145" t="s">
        <v>165</v>
      </c>
      <c r="C967">
        <v>966</v>
      </c>
      <c r="D967">
        <v>1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0.76580754629629633</v>
      </c>
      <c r="B968" s="145" t="s">
        <v>165</v>
      </c>
      <c r="C968">
        <v>967</v>
      </c>
      <c r="D968">
        <v>1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0.76580766203703698</v>
      </c>
      <c r="B969" s="145" t="s">
        <v>2</v>
      </c>
      <c r="C969">
        <v>968</v>
      </c>
      <c r="D969">
        <v>0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0.76580777777777775</v>
      </c>
      <c r="B970" s="145" t="s">
        <v>2</v>
      </c>
      <c r="C970">
        <v>969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0.76580789351851852</v>
      </c>
      <c r="B971" s="145" t="s">
        <v>165</v>
      </c>
      <c r="C971">
        <v>970</v>
      </c>
      <c r="D971">
        <v>1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0.76580800925925929</v>
      </c>
      <c r="B972" s="145" t="s">
        <v>165</v>
      </c>
      <c r="C972">
        <v>971</v>
      </c>
      <c r="D972">
        <v>1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0.76580812499999995</v>
      </c>
      <c r="B973" s="145" t="s">
        <v>165</v>
      </c>
      <c r="C973">
        <v>972</v>
      </c>
      <c r="D973">
        <v>1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0.76580824074074072</v>
      </c>
      <c r="B974" s="145" t="s">
        <v>165</v>
      </c>
      <c r="C974">
        <v>973</v>
      </c>
      <c r="D974">
        <v>1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0.76580835648148149</v>
      </c>
      <c r="B975" s="145" t="s">
        <v>2</v>
      </c>
      <c r="C975">
        <v>974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0.76580847222222226</v>
      </c>
      <c r="B976" s="145" t="s">
        <v>2</v>
      </c>
      <c r="C976">
        <v>975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0.76580858796296292</v>
      </c>
      <c r="B977" s="145" t="s">
        <v>165</v>
      </c>
      <c r="C977">
        <v>976</v>
      </c>
      <c r="D977">
        <v>1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0.76580870370370369</v>
      </c>
      <c r="B978" s="145" t="s">
        <v>165</v>
      </c>
      <c r="C978">
        <v>977</v>
      </c>
      <c r="D978">
        <v>1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0.76580881944444446</v>
      </c>
      <c r="B979" s="145" t="s">
        <v>165</v>
      </c>
      <c r="C979">
        <v>978</v>
      </c>
      <c r="D979">
        <v>1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0.76580893518518522</v>
      </c>
      <c r="B980" s="145" t="s">
        <v>165</v>
      </c>
      <c r="C980">
        <v>979</v>
      </c>
      <c r="D980">
        <v>1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0.76580905092592588</v>
      </c>
      <c r="B981" s="145" t="s">
        <v>2</v>
      </c>
      <c r="C981">
        <v>980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0.76580916666666665</v>
      </c>
      <c r="B982" s="145" t="s">
        <v>2</v>
      </c>
      <c r="C982">
        <v>981</v>
      </c>
      <c r="D982">
        <v>0</v>
      </c>
      <c r="E982">
        <v>1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0.76580928240740742</v>
      </c>
      <c r="B983" s="145" t="s">
        <v>165</v>
      </c>
      <c r="C983">
        <v>982</v>
      </c>
      <c r="D983">
        <v>1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0.76580939814814819</v>
      </c>
      <c r="B984" s="145" t="s">
        <v>165</v>
      </c>
      <c r="C984">
        <v>983</v>
      </c>
      <c r="D984">
        <v>1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0.76580951388888885</v>
      </c>
      <c r="B985" s="145" t="s">
        <v>165</v>
      </c>
      <c r="C985">
        <v>984</v>
      </c>
      <c r="D985">
        <v>1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0.76580962962962962</v>
      </c>
      <c r="B986" s="145" t="s">
        <v>165</v>
      </c>
      <c r="C986">
        <v>985</v>
      </c>
      <c r="D986">
        <v>1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0.76580974537037039</v>
      </c>
      <c r="B987" s="145" t="s">
        <v>2</v>
      </c>
      <c r="C987">
        <v>986</v>
      </c>
      <c r="D987">
        <v>0</v>
      </c>
      <c r="E987">
        <v>1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0.76580986111111116</v>
      </c>
      <c r="B988" s="145" t="s">
        <v>2</v>
      </c>
      <c r="C988">
        <v>987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0.76580997685185181</v>
      </c>
      <c r="B989" s="145" t="s">
        <v>165</v>
      </c>
      <c r="C989">
        <v>988</v>
      </c>
      <c r="D989">
        <v>1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0.76581009259259258</v>
      </c>
      <c r="B990" s="145" t="s">
        <v>165</v>
      </c>
      <c r="C990">
        <v>989</v>
      </c>
      <c r="D990">
        <v>1</v>
      </c>
      <c r="E990">
        <v>1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0.76581020833333335</v>
      </c>
      <c r="B991" s="145" t="s">
        <v>165</v>
      </c>
      <c r="C991">
        <v>990</v>
      </c>
      <c r="D991">
        <v>1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0.76581032407407412</v>
      </c>
      <c r="B992" s="145" t="s">
        <v>165</v>
      </c>
      <c r="C992">
        <v>991</v>
      </c>
      <c r="D992">
        <v>1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0.76581043981481478</v>
      </c>
      <c r="B993" s="145" t="s">
        <v>2</v>
      </c>
      <c r="C993">
        <v>992</v>
      </c>
      <c r="D993">
        <v>0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0.76581054398148152</v>
      </c>
      <c r="B994" s="145" t="s">
        <v>2</v>
      </c>
      <c r="C994">
        <v>993</v>
      </c>
      <c r="D994">
        <v>0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  <row r="995" spans="1:19" x14ac:dyDescent="0.25">
      <c r="A995" s="1">
        <v>0.76581065972222218</v>
      </c>
      <c r="B995" s="145" t="s">
        <v>165</v>
      </c>
      <c r="C995">
        <v>994</v>
      </c>
      <c r="D995">
        <v>1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</row>
    <row r="996" spans="1:19" x14ac:dyDescent="0.25">
      <c r="A996" s="1">
        <v>0.76581077546296294</v>
      </c>
      <c r="B996" s="145" t="s">
        <v>165</v>
      </c>
      <c r="C996">
        <v>995</v>
      </c>
      <c r="D996">
        <v>1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</row>
    <row r="997" spans="1:19" x14ac:dyDescent="0.25">
      <c r="A997" s="1">
        <v>0.76581089120370371</v>
      </c>
      <c r="B997" s="145" t="s">
        <v>165</v>
      </c>
      <c r="C997">
        <v>996</v>
      </c>
      <c r="D997">
        <v>1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</row>
    <row r="998" spans="1:19" x14ac:dyDescent="0.25">
      <c r="A998" s="1">
        <v>0.76581100694444448</v>
      </c>
      <c r="B998" s="145" t="s">
        <v>165</v>
      </c>
      <c r="C998">
        <v>997</v>
      </c>
      <c r="D998">
        <v>1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1</v>
      </c>
      <c r="M998">
        <v>1</v>
      </c>
      <c r="N998">
        <v>1</v>
      </c>
      <c r="O998">
        <v>1</v>
      </c>
      <c r="P998">
        <v>1</v>
      </c>
      <c r="Q998">
        <v>1</v>
      </c>
      <c r="R998">
        <v>1</v>
      </c>
      <c r="S998">
        <v>1</v>
      </c>
    </row>
    <row r="999" spans="1:19" x14ac:dyDescent="0.25">
      <c r="A999" s="1">
        <v>0.76581112268518514</v>
      </c>
      <c r="B999" s="145" t="s">
        <v>2</v>
      </c>
      <c r="C999">
        <v>998</v>
      </c>
      <c r="D999">
        <v>0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1</v>
      </c>
      <c r="N999">
        <v>1</v>
      </c>
      <c r="O999">
        <v>1</v>
      </c>
      <c r="P999">
        <v>1</v>
      </c>
      <c r="Q999">
        <v>1</v>
      </c>
      <c r="R999">
        <v>1</v>
      </c>
      <c r="S999">
        <v>1</v>
      </c>
    </row>
    <row r="1000" spans="1:19" x14ac:dyDescent="0.25">
      <c r="A1000" s="1">
        <v>0.76581123842592591</v>
      </c>
      <c r="B1000" s="145" t="s">
        <v>2</v>
      </c>
      <c r="C1000">
        <v>999</v>
      </c>
      <c r="D1000">
        <v>0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1</v>
      </c>
    </row>
    <row r="1001" spans="1:19" x14ac:dyDescent="0.25">
      <c r="A1001" s="1">
        <v>0.76581135416666668</v>
      </c>
      <c r="B1001" s="145" t="s">
        <v>165</v>
      </c>
      <c r="C1001">
        <v>1000</v>
      </c>
      <c r="D1001">
        <v>1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</row>
    <row r="1002" spans="1:19" x14ac:dyDescent="0.25">
      <c r="A1002" s="1">
        <v>0.76581146990740745</v>
      </c>
      <c r="B1002" s="145" t="s">
        <v>165</v>
      </c>
      <c r="C1002">
        <v>1001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1</v>
      </c>
      <c r="M1002">
        <v>1</v>
      </c>
      <c r="N1002">
        <v>1</v>
      </c>
      <c r="O1002">
        <v>1</v>
      </c>
      <c r="P1002">
        <v>1</v>
      </c>
      <c r="Q1002">
        <v>1</v>
      </c>
      <c r="R1002">
        <v>1</v>
      </c>
      <c r="S1002">
        <v>1</v>
      </c>
    </row>
    <row r="1003" spans="1:19" x14ac:dyDescent="0.25">
      <c r="A1003" s="1">
        <v>0.76581158564814811</v>
      </c>
      <c r="B1003" s="145" t="s">
        <v>165</v>
      </c>
      <c r="C1003">
        <v>1002</v>
      </c>
      <c r="D1003">
        <v>1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</row>
    <row r="1004" spans="1:19" x14ac:dyDescent="0.25">
      <c r="A1004" s="1">
        <v>0.76581170138888888</v>
      </c>
      <c r="B1004" s="145" t="s">
        <v>165</v>
      </c>
      <c r="C1004">
        <v>1003</v>
      </c>
      <c r="D1004">
        <v>1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1</v>
      </c>
      <c r="O1004">
        <v>1</v>
      </c>
      <c r="P1004">
        <v>1</v>
      </c>
      <c r="Q1004">
        <v>1</v>
      </c>
      <c r="R1004">
        <v>1</v>
      </c>
      <c r="S1004">
        <v>1</v>
      </c>
    </row>
    <row r="1005" spans="1:19" x14ac:dyDescent="0.25">
      <c r="A1005" s="1">
        <v>0.76581181712962965</v>
      </c>
      <c r="B1005" s="145" t="s">
        <v>2</v>
      </c>
      <c r="C1005">
        <v>1004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</row>
    <row r="1006" spans="1:19" x14ac:dyDescent="0.25">
      <c r="A1006" s="1">
        <v>0.76581193287037042</v>
      </c>
      <c r="B1006" s="145" t="s">
        <v>2</v>
      </c>
      <c r="C1006">
        <v>1005</v>
      </c>
      <c r="D1006">
        <v>0</v>
      </c>
      <c r="E1006">
        <v>1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</row>
    <row r="1007" spans="1:19" x14ac:dyDescent="0.25">
      <c r="A1007" s="1">
        <v>0.76581204861111107</v>
      </c>
      <c r="B1007" s="145" t="s">
        <v>165</v>
      </c>
      <c r="C1007">
        <v>1006</v>
      </c>
      <c r="D1007">
        <v>1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</v>
      </c>
      <c r="N1007">
        <v>1</v>
      </c>
      <c r="O1007">
        <v>1</v>
      </c>
      <c r="P1007">
        <v>1</v>
      </c>
      <c r="Q1007">
        <v>1</v>
      </c>
      <c r="R1007">
        <v>1</v>
      </c>
      <c r="S1007">
        <v>1</v>
      </c>
    </row>
    <row r="1008" spans="1:19" x14ac:dyDescent="0.25">
      <c r="A1008" s="1">
        <v>0.76581216435185184</v>
      </c>
      <c r="B1008" s="145" t="s">
        <v>165</v>
      </c>
      <c r="C1008">
        <v>1007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1</v>
      </c>
      <c r="M1008">
        <v>1</v>
      </c>
      <c r="N1008">
        <v>1</v>
      </c>
      <c r="O1008">
        <v>1</v>
      </c>
      <c r="P1008">
        <v>1</v>
      </c>
      <c r="Q1008">
        <v>1</v>
      </c>
      <c r="R1008">
        <v>1</v>
      </c>
      <c r="S1008">
        <v>1</v>
      </c>
    </row>
    <row r="1009" spans="1:19" x14ac:dyDescent="0.25">
      <c r="A1009" s="1">
        <v>0.76581228009259261</v>
      </c>
      <c r="B1009" s="145" t="s">
        <v>165</v>
      </c>
      <c r="C1009">
        <v>1008</v>
      </c>
      <c r="D1009">
        <v>1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1</v>
      </c>
      <c r="N1009">
        <v>1</v>
      </c>
      <c r="O1009">
        <v>1</v>
      </c>
      <c r="P1009">
        <v>1</v>
      </c>
      <c r="Q1009">
        <v>1</v>
      </c>
      <c r="R1009">
        <v>1</v>
      </c>
      <c r="S1009">
        <v>1</v>
      </c>
    </row>
    <row r="1010" spans="1:19" x14ac:dyDescent="0.25">
      <c r="A1010" s="1">
        <v>0.76581239583333338</v>
      </c>
      <c r="B1010" s="145" t="s">
        <v>165</v>
      </c>
      <c r="C1010">
        <v>1009</v>
      </c>
      <c r="D1010">
        <v>1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</row>
    <row r="1011" spans="1:19" x14ac:dyDescent="0.25">
      <c r="A1011" s="1">
        <v>0.76581251157407404</v>
      </c>
      <c r="B1011" s="145" t="s">
        <v>2</v>
      </c>
      <c r="C1011">
        <v>1010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</row>
    <row r="1012" spans="1:19" x14ac:dyDescent="0.25">
      <c r="A1012" s="1">
        <v>0.76581262731481481</v>
      </c>
      <c r="B1012" s="145" t="s">
        <v>2</v>
      </c>
      <c r="C1012">
        <v>1011</v>
      </c>
      <c r="D1012">
        <v>0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</row>
    <row r="1013" spans="1:19" x14ac:dyDescent="0.25">
      <c r="A1013" s="1">
        <v>0.76581274305555558</v>
      </c>
      <c r="B1013" s="145" t="s">
        <v>165</v>
      </c>
      <c r="C1013">
        <v>1012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1</v>
      </c>
      <c r="N1013">
        <v>1</v>
      </c>
      <c r="O1013">
        <v>1</v>
      </c>
      <c r="P1013">
        <v>1</v>
      </c>
      <c r="Q1013">
        <v>1</v>
      </c>
      <c r="R1013">
        <v>1</v>
      </c>
      <c r="S1013">
        <v>1</v>
      </c>
    </row>
    <row r="1014" spans="1:19" x14ac:dyDescent="0.25">
      <c r="A1014" s="1">
        <v>0.76581285879629635</v>
      </c>
      <c r="B1014" s="145" t="s">
        <v>165</v>
      </c>
      <c r="C1014">
        <v>1013</v>
      </c>
      <c r="D1014">
        <v>1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</row>
    <row r="1015" spans="1:19" x14ac:dyDescent="0.25">
      <c r="A1015" s="1">
        <v>0.76581297453703701</v>
      </c>
      <c r="B1015" s="145" t="s">
        <v>165</v>
      </c>
      <c r="C1015">
        <v>1014</v>
      </c>
      <c r="D1015">
        <v>1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</row>
    <row r="1016" spans="1:19" x14ac:dyDescent="0.25">
      <c r="A1016" s="1">
        <v>0.76581309027777777</v>
      </c>
      <c r="B1016" s="145" t="s">
        <v>165</v>
      </c>
      <c r="C1016">
        <v>1015</v>
      </c>
      <c r="D1016">
        <v>1</v>
      </c>
      <c r="E1016">
        <v>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1</v>
      </c>
    </row>
    <row r="1017" spans="1:19" x14ac:dyDescent="0.25">
      <c r="A1017" s="1">
        <v>0.76581320601851854</v>
      </c>
      <c r="B1017" s="145" t="s">
        <v>2</v>
      </c>
      <c r="C1017">
        <v>1016</v>
      </c>
      <c r="D1017">
        <v>0</v>
      </c>
      <c r="E1017">
        <v>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1</v>
      </c>
    </row>
    <row r="1018" spans="1:19" x14ac:dyDescent="0.25">
      <c r="A1018" s="1">
        <v>0.76581332175925931</v>
      </c>
      <c r="B1018" s="145" t="s">
        <v>2</v>
      </c>
      <c r="C1018">
        <v>1017</v>
      </c>
      <c r="D1018">
        <v>0</v>
      </c>
      <c r="E1018">
        <v>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</row>
    <row r="1019" spans="1:19" x14ac:dyDescent="0.25">
      <c r="A1019" s="1">
        <v>0.76581343749999997</v>
      </c>
      <c r="B1019" s="145" t="s">
        <v>165</v>
      </c>
      <c r="C1019">
        <v>1018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1</v>
      </c>
      <c r="R1019">
        <v>1</v>
      </c>
      <c r="S1019">
        <v>1</v>
      </c>
    </row>
    <row r="1020" spans="1:19" x14ac:dyDescent="0.25">
      <c r="A1020" s="1">
        <v>0.76581355324074074</v>
      </c>
      <c r="B1020" s="145" t="s">
        <v>165</v>
      </c>
      <c r="C1020">
        <v>1019</v>
      </c>
      <c r="D1020">
        <v>1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1</v>
      </c>
    </row>
    <row r="1021" spans="1:19" x14ac:dyDescent="0.25">
      <c r="A1021" s="1">
        <v>0.76581366898148151</v>
      </c>
      <c r="B1021" s="145" t="s">
        <v>165</v>
      </c>
      <c r="C1021">
        <v>1020</v>
      </c>
      <c r="D1021">
        <v>1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1</v>
      </c>
      <c r="N1021">
        <v>1</v>
      </c>
      <c r="O1021">
        <v>1</v>
      </c>
      <c r="P1021">
        <v>1</v>
      </c>
      <c r="Q1021">
        <v>1</v>
      </c>
      <c r="R1021">
        <v>1</v>
      </c>
      <c r="S1021">
        <v>1</v>
      </c>
    </row>
    <row r="1022" spans="1:19" x14ac:dyDescent="0.25">
      <c r="A1022" s="1">
        <v>0.76581378472222217</v>
      </c>
      <c r="B1022" s="145" t="s">
        <v>165</v>
      </c>
      <c r="C1022">
        <v>1021</v>
      </c>
      <c r="D1022">
        <v>1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</row>
    <row r="1023" spans="1:19" x14ac:dyDescent="0.25">
      <c r="A1023" s="1">
        <v>0.76581390046296294</v>
      </c>
      <c r="B1023" s="145" t="s">
        <v>2</v>
      </c>
      <c r="C1023">
        <v>1022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</row>
    <row r="1024" spans="1:19" x14ac:dyDescent="0.25">
      <c r="A1024" s="1">
        <v>0.76581401620370371</v>
      </c>
      <c r="B1024" s="145" t="s">
        <v>2</v>
      </c>
      <c r="C1024">
        <v>1023</v>
      </c>
      <c r="D1024">
        <v>0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1</v>
      </c>
      <c r="O1024">
        <v>1</v>
      </c>
      <c r="P1024">
        <v>1</v>
      </c>
      <c r="Q1024">
        <v>1</v>
      </c>
      <c r="R1024">
        <v>1</v>
      </c>
      <c r="S1024">
        <v>1</v>
      </c>
    </row>
    <row r="1025" spans="1:19" x14ac:dyDescent="0.25">
      <c r="A1025" s="1">
        <v>0.76581414351851851</v>
      </c>
      <c r="B1025" s="145" t="s">
        <v>165</v>
      </c>
      <c r="C1025">
        <v>1024</v>
      </c>
      <c r="D1025">
        <v>1</v>
      </c>
      <c r="E1025">
        <v>1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</row>
    <row r="1026" spans="1:19" x14ac:dyDescent="0.25">
      <c r="A1026" s="1">
        <v>0.76581424768518513</v>
      </c>
      <c r="B1026" s="145" t="s">
        <v>165</v>
      </c>
      <c r="C1026">
        <v>1025</v>
      </c>
      <c r="D1026">
        <v>1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1</v>
      </c>
      <c r="O1026">
        <v>1</v>
      </c>
      <c r="P1026">
        <v>1</v>
      </c>
      <c r="Q1026">
        <v>1</v>
      </c>
      <c r="R1026">
        <v>1</v>
      </c>
      <c r="S1026">
        <v>1</v>
      </c>
    </row>
    <row r="1027" spans="1:19" x14ac:dyDescent="0.25">
      <c r="A1027" s="1">
        <v>0.7658143634259259</v>
      </c>
      <c r="B1027" s="145" t="s">
        <v>165</v>
      </c>
      <c r="C1027">
        <v>1026</v>
      </c>
      <c r="D1027">
        <v>1</v>
      </c>
      <c r="E1027">
        <v>1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1</v>
      </c>
      <c r="M1027">
        <v>1</v>
      </c>
      <c r="N1027">
        <v>1</v>
      </c>
      <c r="O1027">
        <v>1</v>
      </c>
      <c r="P1027">
        <v>1</v>
      </c>
      <c r="Q1027">
        <v>1</v>
      </c>
      <c r="R1027">
        <v>1</v>
      </c>
      <c r="S1027">
        <v>1</v>
      </c>
    </row>
    <row r="1028" spans="1:19" x14ac:dyDescent="0.25">
      <c r="A1028" s="1">
        <v>0.76581447916666667</v>
      </c>
      <c r="B1028" s="145" t="s">
        <v>165</v>
      </c>
      <c r="C1028">
        <v>1027</v>
      </c>
      <c r="D1028">
        <v>1</v>
      </c>
      <c r="E1028">
        <v>1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1</v>
      </c>
      <c r="N1028">
        <v>1</v>
      </c>
      <c r="O1028">
        <v>1</v>
      </c>
      <c r="P1028">
        <v>1</v>
      </c>
      <c r="Q1028">
        <v>1</v>
      </c>
      <c r="R1028">
        <v>1</v>
      </c>
      <c r="S1028">
        <v>1</v>
      </c>
    </row>
    <row r="1029" spans="1:19" x14ac:dyDescent="0.25">
      <c r="A1029" s="1">
        <v>0.76581459490740744</v>
      </c>
      <c r="B1029" s="145" t="s">
        <v>2</v>
      </c>
      <c r="C1029">
        <v>1028</v>
      </c>
      <c r="D1029">
        <v>0</v>
      </c>
      <c r="E1029">
        <v>1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1</v>
      </c>
      <c r="N1029">
        <v>1</v>
      </c>
      <c r="O1029">
        <v>1</v>
      </c>
      <c r="P1029">
        <v>1</v>
      </c>
      <c r="Q1029">
        <v>1</v>
      </c>
      <c r="R1029">
        <v>1</v>
      </c>
      <c r="S1029">
        <v>1</v>
      </c>
    </row>
    <row r="1030" spans="1:19" x14ac:dyDescent="0.25">
      <c r="A1030" s="1">
        <v>0.7658147106481481</v>
      </c>
      <c r="B1030" s="145" t="s">
        <v>2</v>
      </c>
      <c r="C1030">
        <v>1029</v>
      </c>
      <c r="D1030">
        <v>0</v>
      </c>
      <c r="E1030">
        <v>1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1</v>
      </c>
      <c r="N1030">
        <v>1</v>
      </c>
      <c r="O1030">
        <v>1</v>
      </c>
      <c r="P1030">
        <v>1</v>
      </c>
      <c r="Q1030">
        <v>1</v>
      </c>
      <c r="R1030">
        <v>1</v>
      </c>
      <c r="S1030">
        <v>1</v>
      </c>
    </row>
    <row r="1031" spans="1:19" x14ac:dyDescent="0.25">
      <c r="A1031" s="1">
        <v>0.76581482638888887</v>
      </c>
      <c r="B1031" s="145" t="s">
        <v>165</v>
      </c>
      <c r="C1031">
        <v>1030</v>
      </c>
      <c r="D1031">
        <v>1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1</v>
      </c>
    </row>
    <row r="1032" spans="1:19" x14ac:dyDescent="0.25">
      <c r="A1032" s="1">
        <v>0.76581494212962964</v>
      </c>
      <c r="B1032" s="145" t="s">
        <v>165</v>
      </c>
      <c r="C1032">
        <v>1031</v>
      </c>
      <c r="D1032">
        <v>1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</row>
    <row r="1033" spans="1:19" x14ac:dyDescent="0.25">
      <c r="A1033" s="1">
        <v>0.76581505787037041</v>
      </c>
      <c r="B1033" s="145" t="s">
        <v>165</v>
      </c>
      <c r="C1033">
        <v>1032</v>
      </c>
      <c r="D1033">
        <v>1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1</v>
      </c>
      <c r="N1033">
        <v>1</v>
      </c>
      <c r="O1033">
        <v>1</v>
      </c>
      <c r="P1033">
        <v>1</v>
      </c>
      <c r="Q1033">
        <v>1</v>
      </c>
      <c r="R1033">
        <v>1</v>
      </c>
      <c r="S1033">
        <v>1</v>
      </c>
    </row>
    <row r="1034" spans="1:19" x14ac:dyDescent="0.25">
      <c r="A1034" s="1">
        <v>0.76581517361111107</v>
      </c>
      <c r="B1034" s="145" t="s">
        <v>165</v>
      </c>
      <c r="C1034">
        <v>1033</v>
      </c>
      <c r="D1034">
        <v>1</v>
      </c>
      <c r="E1034">
        <v>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1</v>
      </c>
      <c r="R1034">
        <v>1</v>
      </c>
      <c r="S1034">
        <v>1</v>
      </c>
    </row>
    <row r="1035" spans="1:19" x14ac:dyDescent="0.25">
      <c r="A1035" s="1">
        <v>0.76581528935185184</v>
      </c>
      <c r="B1035" s="145" t="s">
        <v>2</v>
      </c>
      <c r="C1035">
        <v>1034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</row>
    <row r="1036" spans="1:19" x14ac:dyDescent="0.25">
      <c r="A1036" s="1">
        <v>0.7658154050925926</v>
      </c>
      <c r="B1036" s="145" t="s">
        <v>2</v>
      </c>
      <c r="C1036">
        <v>1035</v>
      </c>
      <c r="D1036">
        <v>0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1</v>
      </c>
      <c r="R1036">
        <v>1</v>
      </c>
      <c r="S1036">
        <v>1</v>
      </c>
    </row>
    <row r="1037" spans="1:19" x14ac:dyDescent="0.25">
      <c r="A1037" s="1">
        <v>0.76581552083333337</v>
      </c>
      <c r="B1037" s="145" t="s">
        <v>165</v>
      </c>
      <c r="C1037">
        <v>1036</v>
      </c>
      <c r="D1037">
        <v>1</v>
      </c>
      <c r="E1037">
        <v>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</row>
    <row r="1038" spans="1:19" x14ac:dyDescent="0.25">
      <c r="A1038" s="1">
        <v>0.76581563657407403</v>
      </c>
      <c r="B1038" s="145" t="s">
        <v>165</v>
      </c>
      <c r="C1038">
        <v>1037</v>
      </c>
      <c r="D1038">
        <v>1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1</v>
      </c>
      <c r="N1038">
        <v>1</v>
      </c>
      <c r="O1038">
        <v>1</v>
      </c>
      <c r="P1038">
        <v>1</v>
      </c>
      <c r="Q1038">
        <v>1</v>
      </c>
      <c r="R1038">
        <v>1</v>
      </c>
      <c r="S1038">
        <v>1</v>
      </c>
    </row>
    <row r="1039" spans="1:19" x14ac:dyDescent="0.25">
      <c r="A1039" s="1">
        <v>0.7658157523148148</v>
      </c>
      <c r="B1039" s="145" t="s">
        <v>165</v>
      </c>
      <c r="C1039">
        <v>1038</v>
      </c>
      <c r="D1039">
        <v>1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1</v>
      </c>
      <c r="M1039">
        <v>1</v>
      </c>
      <c r="N1039">
        <v>1</v>
      </c>
      <c r="O1039">
        <v>1</v>
      </c>
      <c r="P1039">
        <v>1</v>
      </c>
      <c r="Q1039">
        <v>1</v>
      </c>
      <c r="R1039">
        <v>1</v>
      </c>
      <c r="S1039">
        <v>1</v>
      </c>
    </row>
    <row r="1040" spans="1:19" x14ac:dyDescent="0.25">
      <c r="A1040" s="1">
        <v>0.76581586805555557</v>
      </c>
      <c r="B1040" s="145" t="s">
        <v>165</v>
      </c>
      <c r="C1040">
        <v>1039</v>
      </c>
      <c r="D1040">
        <v>1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1</v>
      </c>
      <c r="M1040">
        <v>1</v>
      </c>
      <c r="N1040">
        <v>1</v>
      </c>
      <c r="O1040">
        <v>1</v>
      </c>
      <c r="P1040">
        <v>1</v>
      </c>
      <c r="Q1040">
        <v>1</v>
      </c>
      <c r="R1040">
        <v>1</v>
      </c>
      <c r="S1040">
        <v>1</v>
      </c>
    </row>
    <row r="1041" spans="1:19" x14ac:dyDescent="0.25">
      <c r="A1041" s="1">
        <v>0.76581598379629634</v>
      </c>
      <c r="B1041" s="145" t="s">
        <v>2</v>
      </c>
      <c r="C1041">
        <v>1040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</row>
    <row r="1042" spans="1:19" x14ac:dyDescent="0.25">
      <c r="A1042" s="1">
        <v>0.765816099537037</v>
      </c>
      <c r="B1042" s="145" t="s">
        <v>2</v>
      </c>
      <c r="C1042">
        <v>1041</v>
      </c>
      <c r="D1042">
        <v>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</row>
    <row r="1043" spans="1:19" x14ac:dyDescent="0.25">
      <c r="A1043" s="1">
        <v>0.76581621527777777</v>
      </c>
      <c r="B1043" s="145" t="s">
        <v>165</v>
      </c>
      <c r="C1043">
        <v>1042</v>
      </c>
      <c r="D1043">
        <v>1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</row>
    <row r="1044" spans="1:19" x14ac:dyDescent="0.25">
      <c r="A1044" s="1">
        <v>0.76581633101851854</v>
      </c>
      <c r="B1044" s="145" t="s">
        <v>165</v>
      </c>
      <c r="C1044">
        <v>1043</v>
      </c>
      <c r="D1044">
        <v>1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1</v>
      </c>
      <c r="O1044">
        <v>1</v>
      </c>
      <c r="P1044">
        <v>1</v>
      </c>
      <c r="Q1044">
        <v>1</v>
      </c>
      <c r="R1044">
        <v>1</v>
      </c>
      <c r="S1044">
        <v>1</v>
      </c>
    </row>
    <row r="1045" spans="1:19" x14ac:dyDescent="0.25">
      <c r="A1045" s="1">
        <v>0.76581644675925931</v>
      </c>
      <c r="B1045" s="145" t="s">
        <v>165</v>
      </c>
      <c r="C1045">
        <v>1044</v>
      </c>
      <c r="D1045">
        <v>1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1</v>
      </c>
      <c r="R1045">
        <v>1</v>
      </c>
      <c r="S1045">
        <v>1</v>
      </c>
    </row>
    <row r="1046" spans="1:19" x14ac:dyDescent="0.25">
      <c r="A1046" s="1">
        <v>0.76581656249999996</v>
      </c>
      <c r="B1046" s="145" t="s">
        <v>165</v>
      </c>
      <c r="C1046">
        <v>1045</v>
      </c>
      <c r="D1046">
        <v>1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1</v>
      </c>
      <c r="O1046">
        <v>1</v>
      </c>
      <c r="P1046">
        <v>1</v>
      </c>
      <c r="Q1046">
        <v>1</v>
      </c>
      <c r="R1046">
        <v>1</v>
      </c>
      <c r="S1046">
        <v>1</v>
      </c>
    </row>
    <row r="1047" spans="1:19" x14ac:dyDescent="0.25">
      <c r="A1047" s="1">
        <v>0.76581667824074073</v>
      </c>
      <c r="B1047" s="145" t="s">
        <v>2</v>
      </c>
      <c r="C1047">
        <v>1046</v>
      </c>
      <c r="D1047">
        <v>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1</v>
      </c>
      <c r="O1047">
        <v>1</v>
      </c>
      <c r="P1047">
        <v>1</v>
      </c>
      <c r="Q1047">
        <v>1</v>
      </c>
      <c r="R1047">
        <v>1</v>
      </c>
      <c r="S1047">
        <v>1</v>
      </c>
    </row>
    <row r="1048" spans="1:19" x14ac:dyDescent="0.25">
      <c r="A1048" s="1">
        <v>0.7658167939814815</v>
      </c>
      <c r="B1048" s="145" t="s">
        <v>165</v>
      </c>
      <c r="C1048">
        <v>1047</v>
      </c>
      <c r="D1048">
        <v>1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1</v>
      </c>
      <c r="N1048">
        <v>1</v>
      </c>
      <c r="O1048">
        <v>1</v>
      </c>
      <c r="P1048">
        <v>1</v>
      </c>
      <c r="Q1048">
        <v>1</v>
      </c>
      <c r="R1048">
        <v>1</v>
      </c>
      <c r="S1048">
        <v>1</v>
      </c>
    </row>
    <row r="1049" spans="1:19" x14ac:dyDescent="0.25">
      <c r="A1049" s="1">
        <v>0.76581690972222227</v>
      </c>
      <c r="B1049" s="145" t="s">
        <v>165</v>
      </c>
      <c r="C1049">
        <v>1048</v>
      </c>
      <c r="D1049">
        <v>1</v>
      </c>
      <c r="E1049">
        <v>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1</v>
      </c>
      <c r="N1049">
        <v>1</v>
      </c>
      <c r="O1049">
        <v>1</v>
      </c>
      <c r="P1049">
        <v>1</v>
      </c>
      <c r="Q1049">
        <v>1</v>
      </c>
      <c r="R1049">
        <v>1</v>
      </c>
      <c r="S1049">
        <v>1</v>
      </c>
    </row>
    <row r="1050" spans="1:19" x14ac:dyDescent="0.25">
      <c r="A1050" s="1">
        <v>0.76581702546296293</v>
      </c>
      <c r="B1050" s="145" t="s">
        <v>165</v>
      </c>
      <c r="C1050">
        <v>1049</v>
      </c>
      <c r="D1050">
        <v>1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</v>
      </c>
      <c r="N1050">
        <v>1</v>
      </c>
      <c r="O1050">
        <v>1</v>
      </c>
      <c r="P1050">
        <v>1</v>
      </c>
      <c r="Q1050">
        <v>1</v>
      </c>
      <c r="R1050">
        <v>1</v>
      </c>
      <c r="S1050">
        <v>1</v>
      </c>
    </row>
    <row r="1051" spans="1:19" x14ac:dyDescent="0.25">
      <c r="A1051" s="1">
        <v>0.7658171412037037</v>
      </c>
      <c r="B1051" s="145" t="s">
        <v>165</v>
      </c>
      <c r="C1051">
        <v>1050</v>
      </c>
      <c r="D1051">
        <v>1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1</v>
      </c>
      <c r="O1051">
        <v>1</v>
      </c>
      <c r="P1051">
        <v>1</v>
      </c>
      <c r="Q1051">
        <v>1</v>
      </c>
      <c r="R1051">
        <v>1</v>
      </c>
      <c r="S1051">
        <v>1</v>
      </c>
    </row>
    <row r="1052" spans="1:19" x14ac:dyDescent="0.25">
      <c r="A1052" s="1">
        <v>0.76581725694444447</v>
      </c>
      <c r="B1052" s="145" t="s">
        <v>165</v>
      </c>
      <c r="C1052">
        <v>1051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1</v>
      </c>
      <c r="M1052">
        <v>1</v>
      </c>
      <c r="N1052">
        <v>1</v>
      </c>
      <c r="O1052">
        <v>1</v>
      </c>
      <c r="P1052">
        <v>1</v>
      </c>
      <c r="Q1052">
        <v>1</v>
      </c>
      <c r="R1052">
        <v>1</v>
      </c>
      <c r="S1052">
        <v>1</v>
      </c>
    </row>
    <row r="1053" spans="1:19" x14ac:dyDescent="0.25">
      <c r="A1053" s="1">
        <v>0.76581737268518524</v>
      </c>
      <c r="B1053" s="145" t="s">
        <v>2</v>
      </c>
      <c r="C1053">
        <v>1052</v>
      </c>
      <c r="D1053">
        <v>0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</row>
    <row r="1054" spans="1:19" x14ac:dyDescent="0.25">
      <c r="A1054" s="1">
        <v>0.76581747685185186</v>
      </c>
      <c r="B1054" s="145" t="s">
        <v>165</v>
      </c>
      <c r="C1054">
        <v>1053</v>
      </c>
      <c r="D1054">
        <v>1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1</v>
      </c>
      <c r="M1054">
        <v>1</v>
      </c>
      <c r="N1054">
        <v>1</v>
      </c>
      <c r="O1054">
        <v>1</v>
      </c>
      <c r="P1054">
        <v>1</v>
      </c>
      <c r="Q1054">
        <v>1</v>
      </c>
      <c r="R1054">
        <v>1</v>
      </c>
      <c r="S1054">
        <v>1</v>
      </c>
    </row>
    <row r="1055" spans="1:19" x14ac:dyDescent="0.25">
      <c r="A1055" s="1">
        <v>0.76581759259259263</v>
      </c>
      <c r="B1055" s="145" t="s">
        <v>165</v>
      </c>
      <c r="C1055">
        <v>1054</v>
      </c>
      <c r="D1055">
        <v>1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1</v>
      </c>
      <c r="N1055">
        <v>1</v>
      </c>
      <c r="O1055">
        <v>1</v>
      </c>
      <c r="P1055">
        <v>1</v>
      </c>
      <c r="Q1055">
        <v>1</v>
      </c>
      <c r="R1055">
        <v>1</v>
      </c>
      <c r="S1055">
        <v>1</v>
      </c>
    </row>
    <row r="1056" spans="1:19" x14ac:dyDescent="0.25">
      <c r="A1056" s="1">
        <v>0.76581770833333329</v>
      </c>
      <c r="B1056" s="145" t="s">
        <v>165</v>
      </c>
      <c r="C1056">
        <v>1055</v>
      </c>
      <c r="D1056">
        <v>1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1</v>
      </c>
      <c r="O1056">
        <v>1</v>
      </c>
      <c r="P1056">
        <v>1</v>
      </c>
      <c r="Q1056">
        <v>1</v>
      </c>
      <c r="R1056">
        <v>1</v>
      </c>
      <c r="S1056">
        <v>1</v>
      </c>
    </row>
    <row r="1057" spans="1:19" x14ac:dyDescent="0.25">
      <c r="A1057" s="1">
        <v>0.76581782407407406</v>
      </c>
      <c r="B1057" s="145" t="s">
        <v>165</v>
      </c>
      <c r="C1057">
        <v>1056</v>
      </c>
      <c r="D1057">
        <v>1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</row>
    <row r="1058" spans="1:19" x14ac:dyDescent="0.25">
      <c r="A1058" s="1">
        <v>0.76581793981481483</v>
      </c>
      <c r="B1058" s="145" t="s">
        <v>165</v>
      </c>
      <c r="C1058">
        <v>1057</v>
      </c>
      <c r="D1058">
        <v>1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1</v>
      </c>
      <c r="N1058">
        <v>1</v>
      </c>
      <c r="O1058">
        <v>1</v>
      </c>
      <c r="P1058">
        <v>1</v>
      </c>
      <c r="Q1058">
        <v>1</v>
      </c>
      <c r="R1058">
        <v>1</v>
      </c>
      <c r="S1058">
        <v>1</v>
      </c>
    </row>
    <row r="1059" spans="1:19" x14ac:dyDescent="0.25">
      <c r="A1059" s="1">
        <v>0.7658180555555556</v>
      </c>
      <c r="B1059" s="145" t="s">
        <v>2</v>
      </c>
      <c r="C1059">
        <v>1058</v>
      </c>
      <c r="D1059">
        <v>0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1</v>
      </c>
      <c r="M1059">
        <v>1</v>
      </c>
      <c r="N1059">
        <v>1</v>
      </c>
      <c r="O1059">
        <v>1</v>
      </c>
      <c r="P1059">
        <v>1</v>
      </c>
      <c r="Q1059">
        <v>1</v>
      </c>
      <c r="R1059">
        <v>1</v>
      </c>
      <c r="S1059">
        <v>1</v>
      </c>
    </row>
    <row r="1060" spans="1:19" x14ac:dyDescent="0.25">
      <c r="A1060" s="1">
        <v>0.76581817129629626</v>
      </c>
      <c r="B1060" s="145" t="s">
        <v>165</v>
      </c>
      <c r="C1060">
        <v>1059</v>
      </c>
      <c r="D1060">
        <v>1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1</v>
      </c>
      <c r="M1060">
        <v>1</v>
      </c>
      <c r="N1060">
        <v>1</v>
      </c>
      <c r="O1060">
        <v>1</v>
      </c>
      <c r="P1060">
        <v>1</v>
      </c>
      <c r="Q1060">
        <v>1</v>
      </c>
      <c r="R1060">
        <v>1</v>
      </c>
      <c r="S1060">
        <v>1</v>
      </c>
    </row>
    <row r="1061" spans="1:19" x14ac:dyDescent="0.25">
      <c r="A1061" s="1">
        <v>0.76581828703703703</v>
      </c>
      <c r="B1061" s="145" t="s">
        <v>165</v>
      </c>
      <c r="C1061">
        <v>1060</v>
      </c>
      <c r="D1061">
        <v>1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1</v>
      </c>
      <c r="M1061">
        <v>1</v>
      </c>
      <c r="N1061">
        <v>1</v>
      </c>
      <c r="O1061">
        <v>1</v>
      </c>
      <c r="P1061">
        <v>1</v>
      </c>
      <c r="Q1061">
        <v>1</v>
      </c>
      <c r="R1061">
        <v>1</v>
      </c>
      <c r="S1061">
        <v>1</v>
      </c>
    </row>
    <row r="1062" spans="1:19" x14ac:dyDescent="0.25">
      <c r="A1062" s="1">
        <v>0.76581851851851857</v>
      </c>
      <c r="B1062" s="145" t="s">
        <v>165</v>
      </c>
      <c r="C1062">
        <v>1061</v>
      </c>
      <c r="D1062">
        <v>1</v>
      </c>
      <c r="E1062">
        <v>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</row>
    <row r="1063" spans="1:19" x14ac:dyDescent="0.25">
      <c r="A1063" s="1">
        <v>0.76581863425925922</v>
      </c>
      <c r="B1063" s="145" t="s">
        <v>165</v>
      </c>
      <c r="C1063">
        <v>1062</v>
      </c>
      <c r="D1063">
        <v>1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1</v>
      </c>
      <c r="O1063">
        <v>1</v>
      </c>
      <c r="P1063">
        <v>1</v>
      </c>
      <c r="Q1063">
        <v>1</v>
      </c>
      <c r="R1063">
        <v>1</v>
      </c>
      <c r="S1063">
        <v>1</v>
      </c>
    </row>
    <row r="1064" spans="1:19" x14ac:dyDescent="0.25">
      <c r="A1064" s="1">
        <v>0.76581874999999999</v>
      </c>
      <c r="B1064" s="145" t="s">
        <v>2</v>
      </c>
      <c r="C1064">
        <v>1063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1</v>
      </c>
      <c r="S1064">
        <v>1</v>
      </c>
    </row>
    <row r="1065" spans="1:19" x14ac:dyDescent="0.25">
      <c r="A1065" s="1">
        <v>0.76581886574074076</v>
      </c>
      <c r="B1065" s="145" t="s">
        <v>165</v>
      </c>
      <c r="C1065">
        <v>1064</v>
      </c>
      <c r="D1065">
        <v>1</v>
      </c>
      <c r="E1065">
        <v>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1</v>
      </c>
      <c r="N1065">
        <v>1</v>
      </c>
      <c r="O1065">
        <v>1</v>
      </c>
      <c r="P1065">
        <v>1</v>
      </c>
      <c r="Q1065">
        <v>1</v>
      </c>
      <c r="R1065">
        <v>1</v>
      </c>
      <c r="S1065">
        <v>1</v>
      </c>
    </row>
    <row r="1066" spans="1:19" x14ac:dyDescent="0.25">
      <c r="A1066" s="1">
        <v>0.76581898148148153</v>
      </c>
      <c r="B1066" s="145" t="s">
        <v>165</v>
      </c>
      <c r="C1066">
        <v>1065</v>
      </c>
      <c r="D1066">
        <v>1</v>
      </c>
      <c r="E1066">
        <v>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</row>
    <row r="1067" spans="1:19" x14ac:dyDescent="0.25">
      <c r="A1067" s="1">
        <v>0.76581909722222219</v>
      </c>
      <c r="B1067" s="145" t="s">
        <v>165</v>
      </c>
      <c r="C1067">
        <v>1066</v>
      </c>
      <c r="D1067">
        <v>1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</row>
    <row r="1068" spans="1:19" x14ac:dyDescent="0.25">
      <c r="A1068" s="1">
        <v>0.76581921296296296</v>
      </c>
      <c r="B1068" s="145" t="s">
        <v>165</v>
      </c>
      <c r="C1068">
        <v>1067</v>
      </c>
      <c r="D1068">
        <v>1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</row>
    <row r="1069" spans="1:19" x14ac:dyDescent="0.25">
      <c r="A1069" s="1">
        <v>0.76581932870370373</v>
      </c>
      <c r="B1069" s="145" t="s">
        <v>165</v>
      </c>
      <c r="C1069">
        <v>1068</v>
      </c>
      <c r="D1069">
        <v>1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1</v>
      </c>
      <c r="S1069">
        <v>1</v>
      </c>
    </row>
    <row r="1070" spans="1:19" x14ac:dyDescent="0.25">
      <c r="A1070" s="1">
        <v>0.7658194444444445</v>
      </c>
      <c r="B1070" s="145" t="s">
        <v>2</v>
      </c>
      <c r="C1070">
        <v>1069</v>
      </c>
      <c r="D1070">
        <v>0</v>
      </c>
      <c r="E1070">
        <v>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1</v>
      </c>
      <c r="O1070">
        <v>1</v>
      </c>
      <c r="P1070">
        <v>1</v>
      </c>
      <c r="Q1070">
        <v>1</v>
      </c>
      <c r="R1070">
        <v>1</v>
      </c>
      <c r="S1070">
        <v>1</v>
      </c>
    </row>
    <row r="1071" spans="1:19" x14ac:dyDescent="0.25">
      <c r="A1071" s="1">
        <v>0.76581956018518516</v>
      </c>
      <c r="B1071" s="145" t="s">
        <v>165</v>
      </c>
      <c r="C1071">
        <v>1070</v>
      </c>
      <c r="D1071">
        <v>1</v>
      </c>
      <c r="E1071">
        <v>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1</v>
      </c>
      <c r="N1071">
        <v>1</v>
      </c>
      <c r="O1071">
        <v>1</v>
      </c>
      <c r="P1071">
        <v>1</v>
      </c>
      <c r="Q1071">
        <v>1</v>
      </c>
      <c r="R1071">
        <v>1</v>
      </c>
      <c r="S1071">
        <v>1</v>
      </c>
    </row>
    <row r="1072" spans="1:19" x14ac:dyDescent="0.25">
      <c r="A1072" s="1">
        <v>0.76581967592592592</v>
      </c>
      <c r="B1072" s="145" t="s">
        <v>165</v>
      </c>
      <c r="C1072">
        <v>1071</v>
      </c>
      <c r="D1072">
        <v>1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1</v>
      </c>
      <c r="N1072">
        <v>1</v>
      </c>
      <c r="O1072">
        <v>1</v>
      </c>
      <c r="P1072">
        <v>1</v>
      </c>
      <c r="Q1072">
        <v>1</v>
      </c>
      <c r="R1072">
        <v>1</v>
      </c>
      <c r="S1072">
        <v>1</v>
      </c>
    </row>
    <row r="1073" spans="1:19" x14ac:dyDescent="0.25">
      <c r="A1073" s="1">
        <v>0.76581979166666669</v>
      </c>
      <c r="B1073" s="145" t="s">
        <v>165</v>
      </c>
      <c r="C1073">
        <v>1072</v>
      </c>
      <c r="D1073">
        <v>1</v>
      </c>
      <c r="E1073">
        <v>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1</v>
      </c>
      <c r="M1073">
        <v>1</v>
      </c>
      <c r="N1073">
        <v>1</v>
      </c>
      <c r="O1073">
        <v>1</v>
      </c>
      <c r="P1073">
        <v>1</v>
      </c>
      <c r="Q1073">
        <v>1</v>
      </c>
      <c r="R1073">
        <v>1</v>
      </c>
      <c r="S1073">
        <v>1</v>
      </c>
    </row>
    <row r="1074" spans="1:19" x14ac:dyDescent="0.25">
      <c r="A1074" s="1">
        <v>0.76581990740740735</v>
      </c>
      <c r="B1074" s="145" t="s">
        <v>165</v>
      </c>
      <c r="C1074">
        <v>1073</v>
      </c>
      <c r="D1074">
        <v>1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1</v>
      </c>
      <c r="S1074">
        <v>1</v>
      </c>
    </row>
    <row r="1075" spans="1:19" x14ac:dyDescent="0.25">
      <c r="A1075" s="1">
        <v>0.76582002314814812</v>
      </c>
      <c r="B1075" s="145" t="s">
        <v>165</v>
      </c>
      <c r="C1075">
        <v>1074</v>
      </c>
      <c r="D1075">
        <v>1</v>
      </c>
      <c r="E1075">
        <v>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1</v>
      </c>
      <c r="S1075">
        <v>1</v>
      </c>
    </row>
    <row r="1076" spans="1:19" x14ac:dyDescent="0.25">
      <c r="A1076" s="1">
        <v>0.76582013888888889</v>
      </c>
      <c r="B1076" s="145" t="s">
        <v>2</v>
      </c>
      <c r="C1076">
        <v>1075</v>
      </c>
      <c r="D1076">
        <v>0</v>
      </c>
      <c r="E1076">
        <v>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</row>
    <row r="1077" spans="1:19" x14ac:dyDescent="0.25">
      <c r="A1077" s="1">
        <v>0.76582025462962966</v>
      </c>
      <c r="B1077" s="145" t="s">
        <v>165</v>
      </c>
      <c r="C1077">
        <v>1076</v>
      </c>
      <c r="D1077">
        <v>1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1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1</v>
      </c>
      <c r="S1077">
        <v>1</v>
      </c>
    </row>
    <row r="1078" spans="1:19" x14ac:dyDescent="0.25">
      <c r="A1078" s="1">
        <v>0.76582037037037032</v>
      </c>
      <c r="B1078" s="145" t="s">
        <v>165</v>
      </c>
      <c r="C1078">
        <v>1077</v>
      </c>
      <c r="D1078">
        <v>1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</row>
    <row r="1079" spans="1:19" x14ac:dyDescent="0.25">
      <c r="A1079" s="1">
        <v>0.76582048611111109</v>
      </c>
      <c r="B1079" s="145" t="s">
        <v>165</v>
      </c>
      <c r="C1079">
        <v>1078</v>
      </c>
      <c r="D1079">
        <v>1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1</v>
      </c>
      <c r="S1079">
        <v>1</v>
      </c>
    </row>
    <row r="1080" spans="1:19" x14ac:dyDescent="0.25">
      <c r="A1080" s="1">
        <v>0.76582060185185186</v>
      </c>
      <c r="B1080" s="145" t="s">
        <v>165</v>
      </c>
      <c r="C1080">
        <v>1079</v>
      </c>
      <c r="D1080">
        <v>1</v>
      </c>
      <c r="E1080">
        <v>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1</v>
      </c>
      <c r="S1080">
        <v>1</v>
      </c>
    </row>
    <row r="1081" spans="1:19" x14ac:dyDescent="0.25">
      <c r="A1081" s="1">
        <v>0.76582071759259263</v>
      </c>
      <c r="B1081" s="145" t="s">
        <v>165</v>
      </c>
      <c r="C1081">
        <v>1080</v>
      </c>
      <c r="D1081">
        <v>1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1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</row>
    <row r="1082" spans="1:19" x14ac:dyDescent="0.25">
      <c r="A1082" s="1">
        <v>0.76582083333333328</v>
      </c>
      <c r="B1082" s="145" t="s">
        <v>2</v>
      </c>
      <c r="C1082">
        <v>1081</v>
      </c>
      <c r="D1082">
        <v>0</v>
      </c>
      <c r="E1082">
        <v>1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1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1</v>
      </c>
      <c r="S1082">
        <v>1</v>
      </c>
    </row>
    <row r="1083" spans="1:19" x14ac:dyDescent="0.25">
      <c r="A1083" s="1">
        <v>0.76582094907407405</v>
      </c>
      <c r="B1083" s="145" t="s">
        <v>165</v>
      </c>
      <c r="C1083">
        <v>1082</v>
      </c>
      <c r="D1083">
        <v>1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1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1</v>
      </c>
      <c r="S1083">
        <v>1</v>
      </c>
    </row>
    <row r="1084" spans="1:19" x14ac:dyDescent="0.25">
      <c r="A1084" s="1">
        <v>0.76582106481481482</v>
      </c>
      <c r="B1084" s="145" t="s">
        <v>165</v>
      </c>
      <c r="C1084">
        <v>1083</v>
      </c>
      <c r="D1084">
        <v>1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1</v>
      </c>
      <c r="S1084">
        <v>1</v>
      </c>
    </row>
    <row r="1085" spans="1:19" x14ac:dyDescent="0.25">
      <c r="A1085" s="1">
        <v>0.76582118055555559</v>
      </c>
      <c r="B1085" s="145" t="s">
        <v>165</v>
      </c>
      <c r="C1085">
        <v>1084</v>
      </c>
      <c r="D1085">
        <v>1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1</v>
      </c>
      <c r="S1085">
        <v>1</v>
      </c>
    </row>
    <row r="1086" spans="1:19" x14ac:dyDescent="0.25">
      <c r="A1086" s="1">
        <v>0.76582129629629625</v>
      </c>
      <c r="B1086" s="145" t="s">
        <v>165</v>
      </c>
      <c r="C1086">
        <v>1085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</row>
    <row r="1087" spans="1:19" x14ac:dyDescent="0.25">
      <c r="A1087" s="1">
        <v>0.76582141203703702</v>
      </c>
      <c r="B1087" s="145" t="s">
        <v>165</v>
      </c>
      <c r="C1087">
        <v>1086</v>
      </c>
      <c r="D1087">
        <v>1</v>
      </c>
      <c r="E1087">
        <v>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1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1</v>
      </c>
      <c r="S1087">
        <v>1</v>
      </c>
    </row>
    <row r="1088" spans="1:19" x14ac:dyDescent="0.25">
      <c r="A1088" s="1">
        <v>0.76582152777777779</v>
      </c>
      <c r="B1088" s="145" t="s">
        <v>2</v>
      </c>
      <c r="C1088">
        <v>1087</v>
      </c>
      <c r="D1088">
        <v>0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</row>
    <row r="1089" spans="1:19" x14ac:dyDescent="0.25">
      <c r="A1089" s="1">
        <v>0.76582164351851856</v>
      </c>
      <c r="B1089" s="145" t="s">
        <v>165</v>
      </c>
      <c r="C1089">
        <v>1088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1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</row>
    <row r="1090" spans="1:19" x14ac:dyDescent="0.25">
      <c r="A1090" s="1">
        <v>0.76582175925925922</v>
      </c>
      <c r="B1090" s="145" t="s">
        <v>165</v>
      </c>
      <c r="C1090">
        <v>1089</v>
      </c>
      <c r="D1090">
        <v>1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1</v>
      </c>
      <c r="S1090">
        <v>1</v>
      </c>
    </row>
    <row r="1091" spans="1:19" x14ac:dyDescent="0.25">
      <c r="A1091" s="1">
        <v>0.76582187499999999</v>
      </c>
      <c r="B1091" s="145" t="s">
        <v>165</v>
      </c>
      <c r="C1091">
        <v>1090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1</v>
      </c>
      <c r="S1091">
        <v>1</v>
      </c>
    </row>
    <row r="1092" spans="1:19" x14ac:dyDescent="0.25">
      <c r="A1092" s="1">
        <v>0.76582199074074075</v>
      </c>
      <c r="B1092" s="145" t="s">
        <v>165</v>
      </c>
      <c r="C1092">
        <v>1091</v>
      </c>
      <c r="D1092">
        <v>1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</row>
    <row r="1093" spans="1:19" x14ac:dyDescent="0.25">
      <c r="A1093" s="1">
        <v>0.76582210648148152</v>
      </c>
      <c r="B1093" s="145" t="s">
        <v>165</v>
      </c>
      <c r="C1093">
        <v>1092</v>
      </c>
      <c r="D1093">
        <v>1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</row>
    <row r="1094" spans="1:19" x14ac:dyDescent="0.25">
      <c r="A1094" s="1">
        <v>0.76582222222222218</v>
      </c>
      <c r="B1094" s="145" t="s">
        <v>2</v>
      </c>
      <c r="C1094">
        <v>1093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</row>
    <row r="1095" spans="1:19" x14ac:dyDescent="0.25">
      <c r="A1095" s="1">
        <v>0.76582233796296295</v>
      </c>
      <c r="B1095" s="145" t="s">
        <v>165</v>
      </c>
      <c r="C1095">
        <v>1094</v>
      </c>
      <c r="D1095">
        <v>1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1</v>
      </c>
    </row>
    <row r="1096" spans="1:19" x14ac:dyDescent="0.25">
      <c r="A1096" s="1">
        <v>0.76582245370370372</v>
      </c>
      <c r="B1096" s="145" t="s">
        <v>165</v>
      </c>
      <c r="C1096">
        <v>1095</v>
      </c>
      <c r="D1096">
        <v>1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1</v>
      </c>
      <c r="S1096">
        <v>1</v>
      </c>
    </row>
    <row r="1097" spans="1:19" x14ac:dyDescent="0.25">
      <c r="A1097" s="1">
        <v>0.76582256944444449</v>
      </c>
      <c r="B1097" s="145" t="s">
        <v>165</v>
      </c>
      <c r="C1097">
        <v>1096</v>
      </c>
      <c r="D1097">
        <v>1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1</v>
      </c>
      <c r="S1097">
        <v>1</v>
      </c>
    </row>
    <row r="1098" spans="1:19" x14ac:dyDescent="0.25">
      <c r="A1098" s="1">
        <v>0.76582268518518515</v>
      </c>
      <c r="B1098" s="145" t="s">
        <v>165</v>
      </c>
      <c r="C1098">
        <v>1097</v>
      </c>
      <c r="D1098">
        <v>1</v>
      </c>
      <c r="E1098">
        <v>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1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1</v>
      </c>
      <c r="S1098">
        <v>1</v>
      </c>
    </row>
    <row r="1099" spans="1:19" x14ac:dyDescent="0.25">
      <c r="A1099" s="1">
        <v>0.76582280092592592</v>
      </c>
      <c r="B1099" s="145" t="s">
        <v>165</v>
      </c>
      <c r="C1099">
        <v>1098</v>
      </c>
      <c r="D1099">
        <v>1</v>
      </c>
      <c r="E1099">
        <v>1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1</v>
      </c>
      <c r="S1099">
        <v>1</v>
      </c>
    </row>
    <row r="1100" spans="1:19" x14ac:dyDescent="0.25">
      <c r="A1100" s="1">
        <v>0.76582291666666669</v>
      </c>
      <c r="B1100" s="145" t="s">
        <v>2</v>
      </c>
      <c r="C1100">
        <v>1099</v>
      </c>
      <c r="D1100">
        <v>0</v>
      </c>
      <c r="E1100">
        <v>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1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</row>
    <row r="1101" spans="1:19" x14ac:dyDescent="0.25">
      <c r="A1101" s="1">
        <v>0.76582303240740746</v>
      </c>
      <c r="B1101" s="145" t="s">
        <v>165</v>
      </c>
      <c r="C1101">
        <v>1100</v>
      </c>
      <c r="D1101">
        <v>1</v>
      </c>
      <c r="E1101">
        <v>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1</v>
      </c>
      <c r="S1101">
        <v>1</v>
      </c>
    </row>
    <row r="1102" spans="1:19" x14ac:dyDescent="0.25">
      <c r="A1102" s="1">
        <v>0.76582314814814811</v>
      </c>
      <c r="B1102" s="145" t="s">
        <v>165</v>
      </c>
      <c r="C1102">
        <v>1101</v>
      </c>
      <c r="D1102">
        <v>1</v>
      </c>
      <c r="E1102">
        <v>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1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1</v>
      </c>
      <c r="S1102">
        <v>1</v>
      </c>
    </row>
    <row r="1103" spans="1:19" x14ac:dyDescent="0.25">
      <c r="A1103" s="1">
        <v>0.76582326388888888</v>
      </c>
      <c r="B1103" s="145" t="s">
        <v>165</v>
      </c>
      <c r="C1103">
        <v>1102</v>
      </c>
      <c r="D1103">
        <v>1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1</v>
      </c>
      <c r="S1103">
        <v>1</v>
      </c>
    </row>
    <row r="1104" spans="1:19" x14ac:dyDescent="0.25">
      <c r="A1104" s="1">
        <v>0.76582337962962965</v>
      </c>
      <c r="B1104" s="145" t="s">
        <v>165</v>
      </c>
      <c r="C1104">
        <v>1103</v>
      </c>
      <c r="D1104">
        <v>1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1</v>
      </c>
      <c r="S1104">
        <v>1</v>
      </c>
    </row>
    <row r="1105" spans="1:19" x14ac:dyDescent="0.25">
      <c r="A1105" s="1">
        <v>0.76582349537037042</v>
      </c>
      <c r="B1105" s="145" t="s">
        <v>165</v>
      </c>
      <c r="C1105">
        <v>1104</v>
      </c>
      <c r="D1105">
        <v>1</v>
      </c>
      <c r="E1105">
        <v>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1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1</v>
      </c>
      <c r="S1105">
        <v>1</v>
      </c>
    </row>
    <row r="1106" spans="1:19" x14ac:dyDescent="0.25">
      <c r="A1106" s="1">
        <v>0.76582361111111108</v>
      </c>
      <c r="B1106" s="145" t="s">
        <v>2</v>
      </c>
      <c r="C1106">
        <v>1105</v>
      </c>
      <c r="D1106">
        <v>0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1</v>
      </c>
    </row>
    <row r="1107" spans="1:19" x14ac:dyDescent="0.25">
      <c r="A1107" s="1">
        <v>0.76582372685185185</v>
      </c>
      <c r="B1107" s="145" t="s">
        <v>165</v>
      </c>
      <c r="C1107">
        <v>1106</v>
      </c>
      <c r="D1107">
        <v>1</v>
      </c>
      <c r="E1107">
        <v>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1</v>
      </c>
    </row>
    <row r="1108" spans="1:19" x14ac:dyDescent="0.25">
      <c r="A1108" s="1">
        <v>0.76582384259259262</v>
      </c>
      <c r="B1108" s="145" t="s">
        <v>165</v>
      </c>
      <c r="C1108">
        <v>1107</v>
      </c>
      <c r="D1108">
        <v>1</v>
      </c>
      <c r="E1108">
        <v>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1</v>
      </c>
      <c r="S1108">
        <v>1</v>
      </c>
    </row>
    <row r="1109" spans="1:19" x14ac:dyDescent="0.25">
      <c r="A1109" s="1">
        <v>0.76582395833333339</v>
      </c>
      <c r="B1109" s="145" t="s">
        <v>165</v>
      </c>
      <c r="C1109">
        <v>1108</v>
      </c>
      <c r="D1109">
        <v>1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1</v>
      </c>
      <c r="S1109">
        <v>1</v>
      </c>
    </row>
    <row r="1110" spans="1:19" x14ac:dyDescent="0.25">
      <c r="A1110" s="1">
        <v>0.76582407407407405</v>
      </c>
      <c r="B1110" s="145" t="s">
        <v>165</v>
      </c>
      <c r="C1110">
        <v>1109</v>
      </c>
      <c r="D1110">
        <v>1</v>
      </c>
      <c r="E1110">
        <v>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1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1</v>
      </c>
      <c r="S1110">
        <v>1</v>
      </c>
    </row>
    <row r="1111" spans="1:19" x14ac:dyDescent="0.25">
      <c r="A1111" s="1">
        <v>0.76582418981481482</v>
      </c>
      <c r="B1111" s="145" t="s">
        <v>165</v>
      </c>
      <c r="C1111">
        <v>1110</v>
      </c>
      <c r="D1111">
        <v>1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1</v>
      </c>
      <c r="S1111">
        <v>1</v>
      </c>
    </row>
    <row r="1112" spans="1:19" x14ac:dyDescent="0.25">
      <c r="A1112" s="1">
        <v>0.76582429398148144</v>
      </c>
      <c r="B1112" s="145" t="s">
        <v>2</v>
      </c>
      <c r="C1112">
        <v>1111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</row>
    <row r="1113" spans="1:19" x14ac:dyDescent="0.25">
      <c r="A1113" s="1">
        <v>0.76582440972222221</v>
      </c>
      <c r="B1113" s="145" t="s">
        <v>165</v>
      </c>
      <c r="C1113">
        <v>1112</v>
      </c>
      <c r="D1113">
        <v>1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1</v>
      </c>
      <c r="S1113">
        <v>1</v>
      </c>
    </row>
    <row r="1114" spans="1:19" x14ac:dyDescent="0.25">
      <c r="A1114" s="1">
        <v>0.76582452546296298</v>
      </c>
      <c r="B1114" s="145" t="s">
        <v>165</v>
      </c>
      <c r="C1114">
        <v>1113</v>
      </c>
      <c r="D1114">
        <v>1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</row>
    <row r="1115" spans="1:19" x14ac:dyDescent="0.25">
      <c r="A1115" s="1">
        <v>0.76582465277777778</v>
      </c>
      <c r="B1115" s="145" t="s">
        <v>165</v>
      </c>
      <c r="C1115">
        <v>1114</v>
      </c>
      <c r="D1115">
        <v>1</v>
      </c>
      <c r="E1115">
        <v>1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1</v>
      </c>
      <c r="S1115">
        <v>1</v>
      </c>
    </row>
    <row r="1116" spans="1:19" x14ac:dyDescent="0.25">
      <c r="A1116" s="1">
        <v>0.76582475694444441</v>
      </c>
      <c r="B1116" s="145" t="s">
        <v>165</v>
      </c>
      <c r="C1116">
        <v>1115</v>
      </c>
      <c r="D1116">
        <v>1</v>
      </c>
      <c r="E1116">
        <v>1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1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1</v>
      </c>
      <c r="S1116">
        <v>1</v>
      </c>
    </row>
    <row r="1117" spans="1:19" x14ac:dyDescent="0.25">
      <c r="A1117" s="1">
        <v>0.76582487268518518</v>
      </c>
      <c r="B1117" s="145" t="s">
        <v>165</v>
      </c>
      <c r="C1117">
        <v>1116</v>
      </c>
      <c r="D1117">
        <v>1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1</v>
      </c>
      <c r="S1117">
        <v>1</v>
      </c>
    </row>
    <row r="1118" spans="1:19" x14ac:dyDescent="0.25">
      <c r="A1118" s="1">
        <v>0.76582498842592595</v>
      </c>
      <c r="B1118" s="145" t="s">
        <v>2</v>
      </c>
      <c r="C1118">
        <v>1117</v>
      </c>
      <c r="D1118">
        <v>0</v>
      </c>
      <c r="E1118">
        <v>1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1</v>
      </c>
      <c r="S1118">
        <v>1</v>
      </c>
    </row>
    <row r="1119" spans="1:19" x14ac:dyDescent="0.25">
      <c r="A1119" s="1">
        <v>0.76582510416666671</v>
      </c>
      <c r="B1119" s="145" t="s">
        <v>165</v>
      </c>
      <c r="C1119">
        <v>1118</v>
      </c>
      <c r="D1119">
        <v>1</v>
      </c>
      <c r="E1119">
        <v>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1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1</v>
      </c>
      <c r="S1119">
        <v>1</v>
      </c>
    </row>
    <row r="1120" spans="1:19" x14ac:dyDescent="0.25">
      <c r="A1120" s="1">
        <v>0.76582521990740737</v>
      </c>
      <c r="B1120" s="145" t="s">
        <v>165</v>
      </c>
      <c r="C1120">
        <v>1119</v>
      </c>
      <c r="D1120">
        <v>1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1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1</v>
      </c>
      <c r="S1120">
        <v>1</v>
      </c>
    </row>
    <row r="1121" spans="1:19" x14ac:dyDescent="0.25">
      <c r="A1121" s="1">
        <v>0.76582533564814814</v>
      </c>
      <c r="B1121" s="145" t="s">
        <v>165</v>
      </c>
      <c r="C1121">
        <v>1120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1</v>
      </c>
      <c r="S1121">
        <v>1</v>
      </c>
    </row>
    <row r="1122" spans="1:19" x14ac:dyDescent="0.25">
      <c r="A1122" s="1">
        <v>0.76582545138888891</v>
      </c>
      <c r="B1122" s="145" t="s">
        <v>165</v>
      </c>
      <c r="C1122">
        <v>1121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1</v>
      </c>
      <c r="S1122">
        <v>1</v>
      </c>
    </row>
    <row r="1123" spans="1:19" x14ac:dyDescent="0.25">
      <c r="A1123" s="1">
        <v>0.76582556712962968</v>
      </c>
      <c r="B1123" s="145" t="s">
        <v>165</v>
      </c>
      <c r="C1123">
        <v>1122</v>
      </c>
      <c r="D1123">
        <v>1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1</v>
      </c>
      <c r="S1123">
        <v>1</v>
      </c>
    </row>
    <row r="1124" spans="1:19" x14ac:dyDescent="0.25">
      <c r="A1124" s="1">
        <v>0.76582568287037034</v>
      </c>
      <c r="B1124" s="145" t="s">
        <v>2</v>
      </c>
      <c r="C1124">
        <v>1123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1</v>
      </c>
      <c r="S1124">
        <v>1</v>
      </c>
    </row>
    <row r="1125" spans="1:19" x14ac:dyDescent="0.25">
      <c r="A1125" s="1">
        <v>0.76582579861111111</v>
      </c>
      <c r="B1125" s="145" t="s">
        <v>165</v>
      </c>
      <c r="C1125">
        <v>1124</v>
      </c>
      <c r="D1125">
        <v>1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1</v>
      </c>
      <c r="S1125">
        <v>1</v>
      </c>
    </row>
    <row r="1126" spans="1:19" x14ac:dyDescent="0.25">
      <c r="A1126" s="1">
        <v>0.76582591435185188</v>
      </c>
      <c r="B1126" s="145" t="s">
        <v>165</v>
      </c>
      <c r="C1126">
        <v>1125</v>
      </c>
      <c r="D1126">
        <v>1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1</v>
      </c>
      <c r="S1126">
        <v>1</v>
      </c>
    </row>
    <row r="1127" spans="1:19" x14ac:dyDescent="0.25">
      <c r="A1127" s="1">
        <v>0.76582603009259265</v>
      </c>
      <c r="B1127" s="145" t="s">
        <v>165</v>
      </c>
      <c r="C1127">
        <v>1126</v>
      </c>
      <c r="D1127">
        <v>1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</row>
    <row r="1128" spans="1:19" x14ac:dyDescent="0.25">
      <c r="A1128" s="1">
        <v>0.7658261458333333</v>
      </c>
      <c r="B1128" s="145" t="s">
        <v>165</v>
      </c>
      <c r="C1128">
        <v>1127</v>
      </c>
      <c r="D1128">
        <v>1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1</v>
      </c>
      <c r="S1128">
        <v>1</v>
      </c>
    </row>
    <row r="1129" spans="1:19" x14ac:dyDescent="0.25">
      <c r="A1129" s="1">
        <v>0.76582626157407407</v>
      </c>
      <c r="B1129" s="145" t="s">
        <v>165</v>
      </c>
      <c r="C1129">
        <v>1128</v>
      </c>
      <c r="D1129">
        <v>1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1</v>
      </c>
      <c r="S1129">
        <v>1</v>
      </c>
    </row>
    <row r="1130" spans="1:19" x14ac:dyDescent="0.25">
      <c r="A1130" s="1">
        <v>0.76582637731481484</v>
      </c>
      <c r="B1130" s="145" t="s">
        <v>2</v>
      </c>
      <c r="C1130">
        <v>1129</v>
      </c>
      <c r="D1130">
        <v>0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1</v>
      </c>
      <c r="S1130">
        <v>1</v>
      </c>
    </row>
    <row r="1131" spans="1:19" x14ac:dyDescent="0.25">
      <c r="A1131" s="1">
        <v>0.7658264930555555</v>
      </c>
      <c r="B1131" s="145" t="s">
        <v>165</v>
      </c>
      <c r="C1131">
        <v>1130</v>
      </c>
      <c r="D1131">
        <v>1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1</v>
      </c>
      <c r="S1131">
        <v>1</v>
      </c>
    </row>
    <row r="1132" spans="1:19" x14ac:dyDescent="0.25">
      <c r="A1132" s="1">
        <v>0.76582660879629627</v>
      </c>
      <c r="B1132" s="145" t="s">
        <v>165</v>
      </c>
      <c r="C1132">
        <v>1131</v>
      </c>
      <c r="D1132">
        <v>1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1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1</v>
      </c>
      <c r="S1132">
        <v>1</v>
      </c>
    </row>
    <row r="1133" spans="1:19" x14ac:dyDescent="0.25">
      <c r="A1133" s="1">
        <v>0.76582672453703704</v>
      </c>
      <c r="B1133" s="145" t="s">
        <v>165</v>
      </c>
      <c r="C1133">
        <v>1132</v>
      </c>
      <c r="D1133">
        <v>1</v>
      </c>
      <c r="E1133">
        <v>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1</v>
      </c>
      <c r="S1133">
        <v>1</v>
      </c>
    </row>
    <row r="1134" spans="1:19" x14ac:dyDescent="0.25">
      <c r="A1134" s="1">
        <v>0.76582684027777781</v>
      </c>
      <c r="B1134" s="145" t="s">
        <v>165</v>
      </c>
      <c r="C1134">
        <v>1133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1</v>
      </c>
      <c r="S1134">
        <v>1</v>
      </c>
    </row>
    <row r="1135" spans="1:19" x14ac:dyDescent="0.25">
      <c r="A1135" s="1">
        <v>0.76582695601851847</v>
      </c>
      <c r="B1135" s="145" t="s">
        <v>165</v>
      </c>
      <c r="C1135">
        <v>1134</v>
      </c>
      <c r="D1135">
        <v>1</v>
      </c>
      <c r="E1135">
        <v>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1</v>
      </c>
      <c r="S1135">
        <v>1</v>
      </c>
    </row>
    <row r="1136" spans="1:19" x14ac:dyDescent="0.25">
      <c r="A1136" s="1">
        <v>0.76582707175925924</v>
      </c>
      <c r="B1136" s="145" t="s">
        <v>2</v>
      </c>
      <c r="C1136">
        <v>1135</v>
      </c>
      <c r="D1136">
        <v>0</v>
      </c>
      <c r="E1136">
        <v>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1</v>
      </c>
      <c r="S1136">
        <v>1</v>
      </c>
    </row>
    <row r="1137" spans="1:19" x14ac:dyDescent="0.25">
      <c r="A1137" s="1">
        <v>0.76582718750000001</v>
      </c>
      <c r="B1137" s="145" t="s">
        <v>165</v>
      </c>
      <c r="C1137">
        <v>1136</v>
      </c>
      <c r="D1137">
        <v>1</v>
      </c>
      <c r="E1137">
        <v>1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1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1</v>
      </c>
      <c r="S1137">
        <v>1</v>
      </c>
    </row>
    <row r="1138" spans="1:19" x14ac:dyDescent="0.25">
      <c r="A1138" s="1">
        <v>0.76582730324074078</v>
      </c>
      <c r="B1138" s="145" t="s">
        <v>165</v>
      </c>
      <c r="C1138">
        <v>1137</v>
      </c>
      <c r="D1138">
        <v>1</v>
      </c>
      <c r="E1138">
        <v>1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1</v>
      </c>
      <c r="S1138">
        <v>1</v>
      </c>
    </row>
    <row r="1139" spans="1:19" x14ac:dyDescent="0.25">
      <c r="A1139" s="1">
        <v>0.76582741898148143</v>
      </c>
      <c r="B1139" s="145" t="s">
        <v>165</v>
      </c>
      <c r="C1139">
        <v>1138</v>
      </c>
      <c r="D1139">
        <v>1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1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1</v>
      </c>
      <c r="S1139">
        <v>1</v>
      </c>
    </row>
    <row r="1140" spans="1:19" x14ac:dyDescent="0.25">
      <c r="A1140" s="1">
        <v>0.7658275347222222</v>
      </c>
      <c r="B1140" s="145" t="s">
        <v>165</v>
      </c>
      <c r="C1140">
        <v>1139</v>
      </c>
      <c r="D1140">
        <v>1</v>
      </c>
      <c r="E1140">
        <v>1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1</v>
      </c>
      <c r="S1140">
        <v>1</v>
      </c>
    </row>
    <row r="1141" spans="1:19" x14ac:dyDescent="0.25">
      <c r="A1141" s="1">
        <v>0.76582765046296297</v>
      </c>
      <c r="B1141" s="145" t="s">
        <v>165</v>
      </c>
      <c r="C1141">
        <v>1140</v>
      </c>
      <c r="D1141">
        <v>1</v>
      </c>
      <c r="E1141">
        <v>1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1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1</v>
      </c>
      <c r="S1141">
        <v>1</v>
      </c>
    </row>
    <row r="1142" spans="1:19" x14ac:dyDescent="0.25">
      <c r="A1142" s="1">
        <v>0.76582776620370374</v>
      </c>
      <c r="B1142" s="145" t="s">
        <v>2</v>
      </c>
      <c r="C1142">
        <v>1141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1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1</v>
      </c>
      <c r="S1142">
        <v>1</v>
      </c>
    </row>
    <row r="1143" spans="1:19" x14ac:dyDescent="0.25">
      <c r="A1143" s="1">
        <v>0.7658278819444444</v>
      </c>
      <c r="B1143" s="145" t="s">
        <v>165</v>
      </c>
      <c r="C1143">
        <v>1142</v>
      </c>
      <c r="D1143">
        <v>1</v>
      </c>
      <c r="E1143">
        <v>1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1</v>
      </c>
      <c r="S1143">
        <v>1</v>
      </c>
    </row>
    <row r="1144" spans="1:19" x14ac:dyDescent="0.25">
      <c r="A1144" s="1">
        <v>0.76582799768518517</v>
      </c>
      <c r="B1144" s="145" t="s">
        <v>165</v>
      </c>
      <c r="C1144">
        <v>1143</v>
      </c>
      <c r="D1144">
        <v>1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1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1</v>
      </c>
      <c r="S1144">
        <v>1</v>
      </c>
    </row>
    <row r="1145" spans="1:19" x14ac:dyDescent="0.25">
      <c r="A1145" s="1">
        <v>0.76582811342592594</v>
      </c>
      <c r="B1145" s="145" t="s">
        <v>165</v>
      </c>
      <c r="C1145">
        <v>1144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1</v>
      </c>
      <c r="S1145">
        <v>1</v>
      </c>
    </row>
    <row r="1146" spans="1:19" x14ac:dyDescent="0.25">
      <c r="A1146" s="1">
        <v>0.76582822916666671</v>
      </c>
      <c r="B1146" s="145" t="s">
        <v>165</v>
      </c>
      <c r="C1146">
        <v>1145</v>
      </c>
      <c r="D1146">
        <v>1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1</v>
      </c>
      <c r="S1146">
        <v>1</v>
      </c>
    </row>
    <row r="1147" spans="1:19" x14ac:dyDescent="0.25">
      <c r="A1147" s="1">
        <v>0.76582834490740737</v>
      </c>
      <c r="B1147" s="145" t="s">
        <v>165</v>
      </c>
      <c r="C1147">
        <v>1146</v>
      </c>
      <c r="D1147">
        <v>1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1</v>
      </c>
      <c r="S1147">
        <v>1</v>
      </c>
    </row>
    <row r="1148" spans="1:19" x14ac:dyDescent="0.25">
      <c r="A1148" s="1">
        <v>0.76582846064814813</v>
      </c>
      <c r="B1148" s="145" t="s">
        <v>2</v>
      </c>
      <c r="C1148">
        <v>1147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1</v>
      </c>
      <c r="S1148">
        <v>1</v>
      </c>
    </row>
    <row r="1149" spans="1:19" x14ac:dyDescent="0.25">
      <c r="A1149" s="1">
        <v>0.7658285763888889</v>
      </c>
      <c r="B1149" s="145" t="s">
        <v>165</v>
      </c>
      <c r="C1149">
        <v>1148</v>
      </c>
      <c r="D1149">
        <v>1</v>
      </c>
      <c r="E1149">
        <v>1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1</v>
      </c>
      <c r="S1149">
        <v>1</v>
      </c>
    </row>
    <row r="1150" spans="1:19" x14ac:dyDescent="0.25">
      <c r="A1150" s="1">
        <v>0.76582869212962967</v>
      </c>
      <c r="B1150" s="145" t="s">
        <v>165</v>
      </c>
      <c r="C1150">
        <v>1149</v>
      </c>
      <c r="D1150">
        <v>1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1</v>
      </c>
      <c r="S1150">
        <v>1</v>
      </c>
    </row>
    <row r="1151" spans="1:19" x14ac:dyDescent="0.25">
      <c r="A1151" s="1">
        <v>0.76582880787037033</v>
      </c>
      <c r="B1151" s="145" t="s">
        <v>165</v>
      </c>
      <c r="C1151">
        <v>1150</v>
      </c>
      <c r="D1151">
        <v>1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1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1</v>
      </c>
      <c r="S1151">
        <v>1</v>
      </c>
    </row>
    <row r="1152" spans="1:19" x14ac:dyDescent="0.25">
      <c r="A1152" s="1">
        <v>0.7658289236111111</v>
      </c>
      <c r="B1152" s="145" t="s">
        <v>165</v>
      </c>
      <c r="C1152">
        <v>1151</v>
      </c>
      <c r="D1152">
        <v>1</v>
      </c>
      <c r="E1152">
        <v>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1</v>
      </c>
      <c r="S1152">
        <v>1</v>
      </c>
    </row>
    <row r="1153" spans="1:19" x14ac:dyDescent="0.25">
      <c r="A1153" s="1">
        <v>0.76582903935185187</v>
      </c>
      <c r="B1153" s="145" t="s">
        <v>165</v>
      </c>
      <c r="C1153">
        <v>1152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1</v>
      </c>
      <c r="S1153">
        <v>1</v>
      </c>
    </row>
    <row r="1154" spans="1:19" x14ac:dyDescent="0.25">
      <c r="A1154" s="1">
        <v>0.76582915509259264</v>
      </c>
      <c r="B1154" s="145" t="s">
        <v>2</v>
      </c>
      <c r="C1154">
        <v>1153</v>
      </c>
      <c r="D1154">
        <v>0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</row>
    <row r="1155" spans="1:19" x14ac:dyDescent="0.25">
      <c r="A1155" s="1">
        <v>0.7658292708333333</v>
      </c>
      <c r="B1155" s="145" t="s">
        <v>165</v>
      </c>
      <c r="C1155">
        <v>1154</v>
      </c>
      <c r="D1155">
        <v>1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</row>
    <row r="1156" spans="1:19" x14ac:dyDescent="0.25">
      <c r="A1156" s="1">
        <v>0.76582938657407407</v>
      </c>
      <c r="B1156" s="145" t="s">
        <v>165</v>
      </c>
      <c r="C1156">
        <v>1155</v>
      </c>
      <c r="D1156">
        <v>1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</row>
    <row r="1157" spans="1:19" x14ac:dyDescent="0.25">
      <c r="A1157" s="1">
        <v>0.76582950231481484</v>
      </c>
      <c r="B1157" s="145" t="s">
        <v>165</v>
      </c>
      <c r="C1157">
        <v>1156</v>
      </c>
      <c r="D1157">
        <v>1</v>
      </c>
      <c r="E1157">
        <v>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</row>
    <row r="1158" spans="1:19" x14ac:dyDescent="0.25">
      <c r="A1158" s="1">
        <v>0.76582961805555561</v>
      </c>
      <c r="B1158" s="145" t="s">
        <v>165</v>
      </c>
      <c r="C1158">
        <v>1157</v>
      </c>
      <c r="D1158">
        <v>1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1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1</v>
      </c>
      <c r="S1158">
        <v>1</v>
      </c>
    </row>
    <row r="1159" spans="1:19" x14ac:dyDescent="0.25">
      <c r="A1159" s="1">
        <v>0.76582973379629626</v>
      </c>
      <c r="B1159" s="145" t="s">
        <v>165</v>
      </c>
      <c r="C1159">
        <v>1158</v>
      </c>
      <c r="D1159">
        <v>1</v>
      </c>
      <c r="E1159">
        <v>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1</v>
      </c>
      <c r="S1159">
        <v>1</v>
      </c>
    </row>
    <row r="1160" spans="1:19" x14ac:dyDescent="0.25">
      <c r="A1160" s="1">
        <v>0.76582984953703703</v>
      </c>
      <c r="B1160" s="145" t="s">
        <v>2</v>
      </c>
      <c r="C1160">
        <v>1159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1</v>
      </c>
      <c r="S1160">
        <v>1</v>
      </c>
    </row>
    <row r="1161" spans="1:19" x14ac:dyDescent="0.25">
      <c r="A1161" s="1">
        <v>0.76583008101851857</v>
      </c>
      <c r="B1161" s="145" t="s">
        <v>165</v>
      </c>
      <c r="C1161">
        <v>1160</v>
      </c>
      <c r="D1161">
        <v>1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</row>
    <row r="1162" spans="1:19" x14ac:dyDescent="0.25">
      <c r="A1162" s="1">
        <v>0.76583019675925923</v>
      </c>
      <c r="B1162" s="145" t="s">
        <v>165</v>
      </c>
      <c r="C1162">
        <v>1161</v>
      </c>
      <c r="D1162">
        <v>1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1</v>
      </c>
      <c r="S1162">
        <v>1</v>
      </c>
    </row>
    <row r="1163" spans="1:19" x14ac:dyDescent="0.25">
      <c r="A1163" s="1">
        <v>0.7658303125</v>
      </c>
      <c r="B1163" s="145" t="s">
        <v>165</v>
      </c>
      <c r="C1163">
        <v>1162</v>
      </c>
      <c r="D1163">
        <v>1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1</v>
      </c>
      <c r="S1163">
        <v>1</v>
      </c>
    </row>
    <row r="1164" spans="1:19" x14ac:dyDescent="0.25">
      <c r="A1164" s="1">
        <v>0.76583042824074077</v>
      </c>
      <c r="B1164" s="145" t="s">
        <v>165</v>
      </c>
      <c r="C1164">
        <v>1163</v>
      </c>
      <c r="D1164">
        <v>1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1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</row>
    <row r="1165" spans="1:19" x14ac:dyDescent="0.25">
      <c r="A1165" s="1">
        <v>0.76583054398148143</v>
      </c>
      <c r="B1165" s="145" t="s">
        <v>2</v>
      </c>
      <c r="C1165">
        <v>1164</v>
      </c>
      <c r="D1165">
        <v>0</v>
      </c>
      <c r="E1165">
        <v>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1</v>
      </c>
      <c r="S1165">
        <v>1</v>
      </c>
    </row>
    <row r="1166" spans="1:19" x14ac:dyDescent="0.25">
      <c r="A1166" s="1">
        <v>0.7658306597222222</v>
      </c>
      <c r="B1166" s="145" t="s">
        <v>165</v>
      </c>
      <c r="C1166">
        <v>1165</v>
      </c>
      <c r="D1166">
        <v>1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</row>
    <row r="1167" spans="1:19" x14ac:dyDescent="0.25">
      <c r="A1167" s="1">
        <v>0.76583077546296296</v>
      </c>
      <c r="B1167" s="145" t="s">
        <v>165</v>
      </c>
      <c r="C1167">
        <v>1166</v>
      </c>
      <c r="D1167">
        <v>1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</row>
    <row r="1168" spans="1:19" x14ac:dyDescent="0.25">
      <c r="A1168" s="1">
        <v>0.76583089120370373</v>
      </c>
      <c r="B1168" s="145" t="s">
        <v>165</v>
      </c>
      <c r="C1168">
        <v>1167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</row>
    <row r="1169" spans="1:19" x14ac:dyDescent="0.25">
      <c r="A1169" s="1">
        <v>0.76583099537037036</v>
      </c>
      <c r="B1169" s="145" t="s">
        <v>165</v>
      </c>
      <c r="C1169">
        <v>1168</v>
      </c>
      <c r="D1169">
        <v>1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</row>
    <row r="1170" spans="1:19" x14ac:dyDescent="0.25">
      <c r="A1170" s="1">
        <v>0.76583111111111113</v>
      </c>
      <c r="B1170" s="145" t="s">
        <v>165</v>
      </c>
      <c r="C1170">
        <v>1169</v>
      </c>
      <c r="D1170">
        <v>1</v>
      </c>
      <c r="E1170">
        <v>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</row>
    <row r="1171" spans="1:19" x14ac:dyDescent="0.25">
      <c r="A1171" s="1">
        <v>0.7658312268518519</v>
      </c>
      <c r="B1171" s="145" t="s">
        <v>2</v>
      </c>
      <c r="C1171">
        <v>1170</v>
      </c>
      <c r="D1171">
        <v>0</v>
      </c>
      <c r="E1171">
        <v>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1</v>
      </c>
      <c r="S1171">
        <v>1</v>
      </c>
    </row>
    <row r="1172" spans="1:19" x14ac:dyDescent="0.25">
      <c r="A1172" s="1">
        <v>0.76583134259259256</v>
      </c>
      <c r="B1172" s="145" t="s">
        <v>165</v>
      </c>
      <c r="C1172">
        <v>1171</v>
      </c>
      <c r="D1172">
        <v>1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1</v>
      </c>
      <c r="M1172">
        <v>1</v>
      </c>
      <c r="N1172">
        <v>1</v>
      </c>
      <c r="O1172">
        <v>1</v>
      </c>
      <c r="P1172">
        <v>1</v>
      </c>
      <c r="Q1172">
        <v>1</v>
      </c>
      <c r="R1172">
        <v>1</v>
      </c>
      <c r="S1172">
        <v>1</v>
      </c>
    </row>
    <row r="1173" spans="1:19" x14ac:dyDescent="0.25">
      <c r="A1173" s="1">
        <v>0.76583145833333333</v>
      </c>
      <c r="B1173" s="145" t="s">
        <v>165</v>
      </c>
      <c r="C1173">
        <v>1172</v>
      </c>
      <c r="D1173">
        <v>1</v>
      </c>
      <c r="E1173">
        <v>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1</v>
      </c>
      <c r="N1173">
        <v>1</v>
      </c>
      <c r="O1173">
        <v>1</v>
      </c>
      <c r="P1173">
        <v>1</v>
      </c>
      <c r="Q1173">
        <v>1</v>
      </c>
      <c r="R1173">
        <v>1</v>
      </c>
      <c r="S1173">
        <v>1</v>
      </c>
    </row>
    <row r="1174" spans="1:19" x14ac:dyDescent="0.25">
      <c r="A1174" s="1">
        <v>0.7658315740740741</v>
      </c>
      <c r="B1174" s="145" t="s">
        <v>165</v>
      </c>
      <c r="C1174">
        <v>1173</v>
      </c>
      <c r="D1174">
        <v>1</v>
      </c>
      <c r="E1174">
        <v>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1</v>
      </c>
      <c r="N1174">
        <v>1</v>
      </c>
      <c r="O1174">
        <v>1</v>
      </c>
      <c r="P1174">
        <v>1</v>
      </c>
      <c r="Q1174">
        <v>1</v>
      </c>
      <c r="R1174">
        <v>1</v>
      </c>
      <c r="S1174">
        <v>1</v>
      </c>
    </row>
    <row r="1175" spans="1:19" x14ac:dyDescent="0.25">
      <c r="A1175" s="1">
        <v>0.76583168981481486</v>
      </c>
      <c r="B1175" s="145" t="s">
        <v>165</v>
      </c>
      <c r="C1175">
        <v>1174</v>
      </c>
      <c r="D1175">
        <v>1</v>
      </c>
      <c r="E1175">
        <v>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</v>
      </c>
      <c r="O1175">
        <v>1</v>
      </c>
      <c r="P1175">
        <v>1</v>
      </c>
      <c r="Q1175">
        <v>1</v>
      </c>
      <c r="R1175">
        <v>1</v>
      </c>
      <c r="S1175">
        <v>1</v>
      </c>
    </row>
    <row r="1176" spans="1:19" x14ac:dyDescent="0.25">
      <c r="A1176" s="1">
        <v>0.76583180555555552</v>
      </c>
      <c r="B1176" s="145" t="s">
        <v>165</v>
      </c>
      <c r="C1176">
        <v>1175</v>
      </c>
      <c r="D1176">
        <v>1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1</v>
      </c>
      <c r="N1176">
        <v>1</v>
      </c>
      <c r="O1176">
        <v>1</v>
      </c>
      <c r="P1176">
        <v>1</v>
      </c>
      <c r="Q1176">
        <v>1</v>
      </c>
      <c r="R1176">
        <v>1</v>
      </c>
      <c r="S1176">
        <v>1</v>
      </c>
    </row>
    <row r="1177" spans="1:19" x14ac:dyDescent="0.25">
      <c r="A1177" s="1">
        <v>0.76583192129629629</v>
      </c>
      <c r="B1177" s="145" t="s">
        <v>2</v>
      </c>
      <c r="C1177">
        <v>1176</v>
      </c>
      <c r="D1177">
        <v>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1</v>
      </c>
      <c r="M1177">
        <v>1</v>
      </c>
      <c r="N1177">
        <v>1</v>
      </c>
      <c r="O1177">
        <v>1</v>
      </c>
      <c r="P1177">
        <v>1</v>
      </c>
      <c r="Q1177">
        <v>1</v>
      </c>
      <c r="R1177">
        <v>1</v>
      </c>
      <c r="S1177">
        <v>1</v>
      </c>
    </row>
    <row r="1178" spans="1:19" x14ac:dyDescent="0.25">
      <c r="A1178" s="1">
        <v>0.76583203703703706</v>
      </c>
      <c r="B1178" s="145" t="s">
        <v>165</v>
      </c>
      <c r="C1178">
        <v>1177</v>
      </c>
      <c r="D1178">
        <v>1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1</v>
      </c>
      <c r="O1178">
        <v>1</v>
      </c>
      <c r="P1178">
        <v>1</v>
      </c>
      <c r="Q1178">
        <v>1</v>
      </c>
      <c r="R1178">
        <v>1</v>
      </c>
      <c r="S1178">
        <v>1</v>
      </c>
    </row>
    <row r="1179" spans="1:19" x14ac:dyDescent="0.25">
      <c r="A1179" s="1">
        <v>0.76583215277777783</v>
      </c>
      <c r="B1179" s="145" t="s">
        <v>165</v>
      </c>
      <c r="C1179">
        <v>1178</v>
      </c>
      <c r="D1179">
        <v>1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1</v>
      </c>
      <c r="M1179">
        <v>1</v>
      </c>
      <c r="N1179">
        <v>1</v>
      </c>
      <c r="O1179">
        <v>1</v>
      </c>
      <c r="P1179">
        <v>1</v>
      </c>
      <c r="Q1179">
        <v>1</v>
      </c>
      <c r="R1179">
        <v>1</v>
      </c>
      <c r="S1179">
        <v>1</v>
      </c>
    </row>
    <row r="1180" spans="1:19" x14ac:dyDescent="0.25">
      <c r="A1180" s="1">
        <v>0.76583226851851849</v>
      </c>
      <c r="B1180" s="145" t="s">
        <v>165</v>
      </c>
      <c r="C1180">
        <v>1179</v>
      </c>
      <c r="D1180">
        <v>1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1</v>
      </c>
      <c r="N1180">
        <v>1</v>
      </c>
      <c r="O1180">
        <v>1</v>
      </c>
      <c r="P1180">
        <v>1</v>
      </c>
      <c r="Q1180">
        <v>1</v>
      </c>
      <c r="R1180">
        <v>1</v>
      </c>
      <c r="S1180">
        <v>1</v>
      </c>
    </row>
    <row r="1181" spans="1:19" x14ac:dyDescent="0.25">
      <c r="A1181" s="1">
        <v>0.76583238425925926</v>
      </c>
      <c r="B1181" s="145" t="s">
        <v>165</v>
      </c>
      <c r="C1181">
        <v>1180</v>
      </c>
      <c r="D1181">
        <v>1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1</v>
      </c>
      <c r="N1181">
        <v>1</v>
      </c>
      <c r="O1181">
        <v>1</v>
      </c>
      <c r="P1181">
        <v>1</v>
      </c>
      <c r="Q1181">
        <v>1</v>
      </c>
      <c r="R1181">
        <v>1</v>
      </c>
      <c r="S1181">
        <v>1</v>
      </c>
    </row>
    <row r="1182" spans="1:19" x14ac:dyDescent="0.25">
      <c r="A1182" s="1">
        <v>0.76583250000000003</v>
      </c>
      <c r="B1182" s="145" t="s">
        <v>165</v>
      </c>
      <c r="C1182">
        <v>1181</v>
      </c>
      <c r="D1182">
        <v>1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1</v>
      </c>
      <c r="N1182">
        <v>1</v>
      </c>
      <c r="O1182">
        <v>1</v>
      </c>
      <c r="P1182">
        <v>1</v>
      </c>
      <c r="Q1182">
        <v>1</v>
      </c>
      <c r="R1182">
        <v>1</v>
      </c>
      <c r="S1182">
        <v>1</v>
      </c>
    </row>
    <row r="1183" spans="1:19" x14ac:dyDescent="0.25">
      <c r="A1183" s="1">
        <v>0.76583261574074069</v>
      </c>
      <c r="B1183" s="145" t="s">
        <v>2</v>
      </c>
      <c r="C1183">
        <v>1182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1</v>
      </c>
      <c r="N1183">
        <v>1</v>
      </c>
      <c r="O1183">
        <v>1</v>
      </c>
      <c r="P1183">
        <v>1</v>
      </c>
      <c r="Q1183">
        <v>1</v>
      </c>
      <c r="R1183">
        <v>1</v>
      </c>
      <c r="S1183">
        <v>1</v>
      </c>
    </row>
    <row r="1184" spans="1:19" x14ac:dyDescent="0.25">
      <c r="A1184" s="1">
        <v>0.76583273148148145</v>
      </c>
      <c r="B1184" s="145" t="s">
        <v>165</v>
      </c>
      <c r="C1184">
        <v>1183</v>
      </c>
      <c r="D1184">
        <v>1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1</v>
      </c>
      <c r="M1184">
        <v>1</v>
      </c>
      <c r="N1184">
        <v>1</v>
      </c>
      <c r="O1184">
        <v>1</v>
      </c>
      <c r="P1184">
        <v>1</v>
      </c>
      <c r="Q1184">
        <v>1</v>
      </c>
      <c r="R1184">
        <v>1</v>
      </c>
      <c r="S1184">
        <v>1</v>
      </c>
    </row>
    <row r="1185" spans="1:19" x14ac:dyDescent="0.25">
      <c r="A1185" s="1">
        <v>0.76583284722222222</v>
      </c>
      <c r="B1185" s="145" t="s">
        <v>165</v>
      </c>
      <c r="C1185">
        <v>1184</v>
      </c>
      <c r="D1185">
        <v>1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</row>
    <row r="1186" spans="1:19" x14ac:dyDescent="0.25">
      <c r="A1186" s="1">
        <v>0.76583296296296299</v>
      </c>
      <c r="B1186" s="145" t="s">
        <v>165</v>
      </c>
      <c r="C1186">
        <v>1185</v>
      </c>
      <c r="D1186">
        <v>1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1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</row>
    <row r="1187" spans="1:19" x14ac:dyDescent="0.25">
      <c r="A1187" s="1">
        <v>0.76583307870370365</v>
      </c>
      <c r="B1187" s="145" t="s">
        <v>165</v>
      </c>
      <c r="C1187">
        <v>1186</v>
      </c>
      <c r="D1187">
        <v>1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1</v>
      </c>
      <c r="M1187">
        <v>1</v>
      </c>
      <c r="N1187">
        <v>1</v>
      </c>
      <c r="O1187">
        <v>1</v>
      </c>
      <c r="P1187">
        <v>1</v>
      </c>
      <c r="Q1187">
        <v>1</v>
      </c>
      <c r="R1187">
        <v>1</v>
      </c>
      <c r="S1187">
        <v>1</v>
      </c>
    </row>
    <row r="1188" spans="1:19" x14ac:dyDescent="0.25">
      <c r="A1188" s="1">
        <v>0.76583319444444442</v>
      </c>
      <c r="B1188" s="145" t="s">
        <v>165</v>
      </c>
      <c r="C1188">
        <v>1187</v>
      </c>
      <c r="D1188">
        <v>1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1</v>
      </c>
      <c r="M1188">
        <v>1</v>
      </c>
      <c r="N1188">
        <v>1</v>
      </c>
      <c r="O1188">
        <v>1</v>
      </c>
      <c r="P1188">
        <v>1</v>
      </c>
      <c r="Q1188">
        <v>1</v>
      </c>
      <c r="R1188">
        <v>1</v>
      </c>
      <c r="S1188">
        <v>1</v>
      </c>
    </row>
    <row r="1189" spans="1:19" x14ac:dyDescent="0.25">
      <c r="A1189" s="1">
        <v>0.76583331018518519</v>
      </c>
      <c r="B1189" s="145" t="s">
        <v>2</v>
      </c>
      <c r="C1189">
        <v>1188</v>
      </c>
      <c r="D1189">
        <v>0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1</v>
      </c>
      <c r="N1189">
        <v>1</v>
      </c>
      <c r="O1189">
        <v>1</v>
      </c>
      <c r="P1189">
        <v>1</v>
      </c>
      <c r="Q1189">
        <v>1</v>
      </c>
      <c r="R1189">
        <v>1</v>
      </c>
      <c r="S1189">
        <v>1</v>
      </c>
    </row>
    <row r="1190" spans="1:19" x14ac:dyDescent="0.25">
      <c r="A1190" s="1">
        <v>0.76583342592592596</v>
      </c>
      <c r="B1190" s="145" t="s">
        <v>165</v>
      </c>
      <c r="C1190">
        <v>1189</v>
      </c>
      <c r="D1190">
        <v>1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1</v>
      </c>
      <c r="N1190">
        <v>1</v>
      </c>
      <c r="O1190">
        <v>1</v>
      </c>
      <c r="P1190">
        <v>1</v>
      </c>
      <c r="Q1190">
        <v>1</v>
      </c>
      <c r="R1190">
        <v>1</v>
      </c>
      <c r="S1190">
        <v>1</v>
      </c>
    </row>
    <row r="1191" spans="1:19" x14ac:dyDescent="0.25">
      <c r="A1191" s="1">
        <v>0.76583354166666662</v>
      </c>
      <c r="B1191" s="145" t="s">
        <v>165</v>
      </c>
      <c r="C1191">
        <v>1190</v>
      </c>
      <c r="D1191">
        <v>1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1</v>
      </c>
      <c r="M1191">
        <v>1</v>
      </c>
      <c r="N1191">
        <v>1</v>
      </c>
      <c r="O1191">
        <v>1</v>
      </c>
      <c r="P1191">
        <v>1</v>
      </c>
      <c r="Q1191">
        <v>1</v>
      </c>
      <c r="R1191">
        <v>1</v>
      </c>
      <c r="S1191">
        <v>1</v>
      </c>
    </row>
    <row r="1192" spans="1:19" x14ac:dyDescent="0.25">
      <c r="A1192" s="1">
        <v>0.76583365740740739</v>
      </c>
      <c r="B1192" s="145" t="s">
        <v>165</v>
      </c>
      <c r="C1192">
        <v>1191</v>
      </c>
      <c r="D1192">
        <v>1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1</v>
      </c>
      <c r="N1192">
        <v>1</v>
      </c>
      <c r="O1192">
        <v>1</v>
      </c>
      <c r="P1192">
        <v>1</v>
      </c>
      <c r="Q1192">
        <v>1</v>
      </c>
      <c r="R1192">
        <v>1</v>
      </c>
      <c r="S1192">
        <v>1</v>
      </c>
    </row>
    <row r="1193" spans="1:19" x14ac:dyDescent="0.25">
      <c r="A1193" s="1">
        <v>0.76583377314814816</v>
      </c>
      <c r="B1193" s="145" t="s">
        <v>165</v>
      </c>
      <c r="C1193">
        <v>1192</v>
      </c>
      <c r="D1193">
        <v>1</v>
      </c>
      <c r="E1193">
        <v>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1</v>
      </c>
      <c r="M1193">
        <v>1</v>
      </c>
      <c r="N1193">
        <v>1</v>
      </c>
      <c r="O1193">
        <v>1</v>
      </c>
      <c r="P1193">
        <v>1</v>
      </c>
      <c r="Q1193">
        <v>1</v>
      </c>
      <c r="R1193">
        <v>1</v>
      </c>
      <c r="S1193">
        <v>1</v>
      </c>
    </row>
    <row r="1194" spans="1:19" x14ac:dyDescent="0.25">
      <c r="A1194" s="1">
        <v>0.76583388888888893</v>
      </c>
      <c r="B1194" s="145" t="s">
        <v>165</v>
      </c>
      <c r="C1194">
        <v>1193</v>
      </c>
      <c r="D1194">
        <v>1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</v>
      </c>
      <c r="N1194">
        <v>1</v>
      </c>
      <c r="O1194">
        <v>1</v>
      </c>
      <c r="P1194">
        <v>1</v>
      </c>
      <c r="Q1194">
        <v>1</v>
      </c>
      <c r="R1194">
        <v>1</v>
      </c>
      <c r="S1194">
        <v>1</v>
      </c>
    </row>
    <row r="1195" spans="1:19" x14ac:dyDescent="0.25">
      <c r="A1195" s="1">
        <v>0.76583400462962958</v>
      </c>
      <c r="B1195" s="145" t="s">
        <v>2</v>
      </c>
      <c r="C1195">
        <v>1194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1</v>
      </c>
      <c r="M1195">
        <v>1</v>
      </c>
      <c r="N1195">
        <v>1</v>
      </c>
      <c r="O1195">
        <v>1</v>
      </c>
      <c r="P1195">
        <v>1</v>
      </c>
      <c r="Q1195">
        <v>1</v>
      </c>
      <c r="R1195">
        <v>1</v>
      </c>
      <c r="S1195">
        <v>1</v>
      </c>
    </row>
    <row r="1196" spans="1:19" x14ac:dyDescent="0.25">
      <c r="A1196" s="1">
        <v>0.76583412037037035</v>
      </c>
      <c r="B1196" s="145" t="s">
        <v>165</v>
      </c>
      <c r="C1196">
        <v>1195</v>
      </c>
      <c r="D1196">
        <v>1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1</v>
      </c>
      <c r="N1196">
        <v>1</v>
      </c>
      <c r="O1196">
        <v>1</v>
      </c>
      <c r="P1196">
        <v>1</v>
      </c>
      <c r="Q1196">
        <v>1</v>
      </c>
      <c r="R1196">
        <v>1</v>
      </c>
      <c r="S1196">
        <v>1</v>
      </c>
    </row>
    <row r="1197" spans="1:19" x14ac:dyDescent="0.25">
      <c r="A1197" s="1">
        <v>0.76583423611111112</v>
      </c>
      <c r="B1197" s="145" t="s">
        <v>165</v>
      </c>
      <c r="C1197">
        <v>1196</v>
      </c>
      <c r="D1197">
        <v>1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1</v>
      </c>
      <c r="N1197">
        <v>1</v>
      </c>
      <c r="O1197">
        <v>1</v>
      </c>
      <c r="P1197">
        <v>1</v>
      </c>
      <c r="Q1197">
        <v>1</v>
      </c>
      <c r="R1197">
        <v>1</v>
      </c>
      <c r="S1197">
        <v>1</v>
      </c>
    </row>
    <row r="1198" spans="1:19" x14ac:dyDescent="0.25">
      <c r="A1198" s="1">
        <v>0.76583435185185189</v>
      </c>
      <c r="B1198" s="145" t="s">
        <v>165</v>
      </c>
      <c r="C1198">
        <v>1197</v>
      </c>
      <c r="D1198">
        <v>1</v>
      </c>
      <c r="E1198">
        <v>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1</v>
      </c>
      <c r="N1198">
        <v>1</v>
      </c>
      <c r="O1198">
        <v>1</v>
      </c>
      <c r="P1198">
        <v>1</v>
      </c>
      <c r="Q1198">
        <v>1</v>
      </c>
      <c r="R1198">
        <v>1</v>
      </c>
      <c r="S1198">
        <v>1</v>
      </c>
    </row>
    <row r="1199" spans="1:19" x14ac:dyDescent="0.25">
      <c r="A1199" s="1">
        <v>0.76583446759259255</v>
      </c>
      <c r="B1199" s="145" t="s">
        <v>165</v>
      </c>
      <c r="C1199">
        <v>1198</v>
      </c>
      <c r="D1199">
        <v>1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O1199">
        <v>1</v>
      </c>
      <c r="P1199">
        <v>1</v>
      </c>
      <c r="Q1199">
        <v>1</v>
      </c>
      <c r="R1199">
        <v>1</v>
      </c>
      <c r="S1199">
        <v>1</v>
      </c>
    </row>
    <row r="1200" spans="1:19" x14ac:dyDescent="0.25">
      <c r="A1200" s="1">
        <v>0.76583458333333332</v>
      </c>
      <c r="B1200" s="145" t="s">
        <v>165</v>
      </c>
      <c r="C1200">
        <v>1199</v>
      </c>
      <c r="D1200">
        <v>1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1</v>
      </c>
      <c r="N1200">
        <v>1</v>
      </c>
      <c r="O1200">
        <v>1</v>
      </c>
      <c r="P1200">
        <v>1</v>
      </c>
      <c r="Q1200">
        <v>1</v>
      </c>
      <c r="R1200">
        <v>1</v>
      </c>
      <c r="S1200">
        <v>1</v>
      </c>
    </row>
    <row r="1201" spans="1:19" x14ac:dyDescent="0.25">
      <c r="A1201" s="1">
        <v>0.76583469907407409</v>
      </c>
      <c r="B1201" s="145" t="s">
        <v>2</v>
      </c>
      <c r="C1201">
        <v>1200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</row>
    <row r="1202" spans="1:19" x14ac:dyDescent="0.25">
      <c r="A1202" s="1">
        <v>0.76583481481481486</v>
      </c>
      <c r="B1202" s="145" t="s">
        <v>165</v>
      </c>
      <c r="C1202">
        <v>1201</v>
      </c>
      <c r="D1202">
        <v>1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1</v>
      </c>
      <c r="O1202">
        <v>1</v>
      </c>
      <c r="P1202">
        <v>1</v>
      </c>
      <c r="Q1202">
        <v>1</v>
      </c>
      <c r="R1202">
        <v>1</v>
      </c>
      <c r="S1202">
        <v>1</v>
      </c>
    </row>
    <row r="1203" spans="1:19" x14ac:dyDescent="0.25">
      <c r="A1203" s="1">
        <v>0.76583493055555552</v>
      </c>
      <c r="B1203" s="145" t="s">
        <v>165</v>
      </c>
      <c r="C1203">
        <v>1202</v>
      </c>
      <c r="D1203">
        <v>1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1</v>
      </c>
      <c r="N1203">
        <v>1</v>
      </c>
      <c r="O1203">
        <v>1</v>
      </c>
      <c r="P1203">
        <v>1</v>
      </c>
      <c r="Q1203">
        <v>1</v>
      </c>
      <c r="R1203">
        <v>1</v>
      </c>
      <c r="S1203">
        <v>1</v>
      </c>
    </row>
    <row r="1204" spans="1:19" x14ac:dyDescent="0.25">
      <c r="A1204" s="1">
        <v>0.76583504629629628</v>
      </c>
      <c r="B1204" s="145" t="s">
        <v>165</v>
      </c>
      <c r="C1204">
        <v>1203</v>
      </c>
      <c r="D1204">
        <v>1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1</v>
      </c>
      <c r="N1204">
        <v>1</v>
      </c>
      <c r="O1204">
        <v>1</v>
      </c>
      <c r="P1204">
        <v>1</v>
      </c>
      <c r="Q1204">
        <v>1</v>
      </c>
      <c r="R1204">
        <v>1</v>
      </c>
      <c r="S1204">
        <v>1</v>
      </c>
    </row>
    <row r="1205" spans="1:19" x14ac:dyDescent="0.25">
      <c r="A1205" s="1">
        <v>0.76583517361111109</v>
      </c>
      <c r="B1205" s="145" t="s">
        <v>165</v>
      </c>
      <c r="C1205">
        <v>1204</v>
      </c>
      <c r="D1205">
        <v>1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1</v>
      </c>
      <c r="O1205">
        <v>1</v>
      </c>
      <c r="P1205">
        <v>1</v>
      </c>
      <c r="Q1205">
        <v>1</v>
      </c>
      <c r="R1205">
        <v>1</v>
      </c>
      <c r="S1205">
        <v>1</v>
      </c>
    </row>
    <row r="1206" spans="1:19" x14ac:dyDescent="0.25">
      <c r="A1206" s="1">
        <v>0.76583527777777782</v>
      </c>
      <c r="B1206" s="145" t="s">
        <v>165</v>
      </c>
      <c r="C1206">
        <v>1205</v>
      </c>
      <c r="D1206">
        <v>1</v>
      </c>
      <c r="E1206">
        <v>1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1</v>
      </c>
      <c r="N1206">
        <v>1</v>
      </c>
      <c r="O1206">
        <v>1</v>
      </c>
      <c r="P1206">
        <v>1</v>
      </c>
      <c r="Q1206">
        <v>1</v>
      </c>
      <c r="R1206">
        <v>1</v>
      </c>
      <c r="S1206">
        <v>1</v>
      </c>
    </row>
    <row r="1207" spans="1:19" x14ac:dyDescent="0.25">
      <c r="A1207" s="1">
        <v>0.76583539351851848</v>
      </c>
      <c r="B1207" s="145" t="s">
        <v>2</v>
      </c>
      <c r="C1207">
        <v>1206</v>
      </c>
      <c r="D1207">
        <v>0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1</v>
      </c>
      <c r="M1207">
        <v>1</v>
      </c>
      <c r="N1207">
        <v>1</v>
      </c>
      <c r="O1207">
        <v>1</v>
      </c>
      <c r="P1207">
        <v>1</v>
      </c>
      <c r="Q1207">
        <v>1</v>
      </c>
      <c r="R1207">
        <v>1</v>
      </c>
      <c r="S1207">
        <v>1</v>
      </c>
    </row>
    <row r="1208" spans="1:19" x14ac:dyDescent="0.25">
      <c r="A1208" s="1">
        <v>0.76583550925925925</v>
      </c>
      <c r="B1208" s="145" t="s">
        <v>165</v>
      </c>
      <c r="C1208">
        <v>1207</v>
      </c>
      <c r="D1208">
        <v>1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1</v>
      </c>
      <c r="O1208">
        <v>1</v>
      </c>
      <c r="P1208">
        <v>1</v>
      </c>
      <c r="Q1208">
        <v>1</v>
      </c>
      <c r="R1208">
        <v>1</v>
      </c>
      <c r="S1208">
        <v>1</v>
      </c>
    </row>
    <row r="1209" spans="1:19" x14ac:dyDescent="0.25">
      <c r="A1209" s="1">
        <v>0.76583562500000002</v>
      </c>
      <c r="B1209" s="145" t="s">
        <v>165</v>
      </c>
      <c r="C1209">
        <v>1208</v>
      </c>
      <c r="D1209">
        <v>1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</row>
    <row r="1210" spans="1:19" x14ac:dyDescent="0.25">
      <c r="A1210" s="1">
        <v>0.76583574074074079</v>
      </c>
      <c r="B1210" s="145" t="s">
        <v>165</v>
      </c>
      <c r="C1210">
        <v>1209</v>
      </c>
      <c r="D1210">
        <v>1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1</v>
      </c>
      <c r="N1210">
        <v>1</v>
      </c>
      <c r="O1210">
        <v>1</v>
      </c>
      <c r="P1210">
        <v>1</v>
      </c>
      <c r="Q1210">
        <v>1</v>
      </c>
      <c r="R1210">
        <v>1</v>
      </c>
      <c r="S1210">
        <v>1</v>
      </c>
    </row>
    <row r="1211" spans="1:19" x14ac:dyDescent="0.25">
      <c r="A1211" s="1">
        <v>0.76583585648148145</v>
      </c>
      <c r="B1211" s="145" t="s">
        <v>165</v>
      </c>
      <c r="C1211">
        <v>1210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1</v>
      </c>
      <c r="N1211">
        <v>1</v>
      </c>
      <c r="O1211">
        <v>1</v>
      </c>
      <c r="P1211">
        <v>1</v>
      </c>
      <c r="Q1211">
        <v>1</v>
      </c>
      <c r="R1211">
        <v>1</v>
      </c>
      <c r="S1211">
        <v>1</v>
      </c>
    </row>
    <row r="1212" spans="1:19" x14ac:dyDescent="0.25">
      <c r="A1212" s="1">
        <v>0.76583597222222222</v>
      </c>
      <c r="B1212" s="145" t="s">
        <v>165</v>
      </c>
      <c r="C1212">
        <v>1211</v>
      </c>
      <c r="D1212">
        <v>1</v>
      </c>
      <c r="E1212">
        <v>1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1</v>
      </c>
      <c r="M1212">
        <v>1</v>
      </c>
      <c r="N1212">
        <v>1</v>
      </c>
      <c r="O1212">
        <v>1</v>
      </c>
      <c r="P1212">
        <v>1</v>
      </c>
      <c r="Q1212">
        <v>1</v>
      </c>
      <c r="R1212">
        <v>1</v>
      </c>
      <c r="S1212">
        <v>1</v>
      </c>
    </row>
    <row r="1213" spans="1:19" x14ac:dyDescent="0.25">
      <c r="A1213" s="1">
        <v>0.76583608796296299</v>
      </c>
      <c r="B1213" s="145" t="s">
        <v>165</v>
      </c>
      <c r="C1213">
        <v>1212</v>
      </c>
      <c r="D1213">
        <v>1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1</v>
      </c>
      <c r="N1213">
        <v>1</v>
      </c>
      <c r="O1213">
        <v>1</v>
      </c>
      <c r="P1213">
        <v>1</v>
      </c>
      <c r="Q1213">
        <v>1</v>
      </c>
      <c r="R1213">
        <v>1</v>
      </c>
      <c r="S1213">
        <v>1</v>
      </c>
    </row>
    <row r="1214" spans="1:19" x14ac:dyDescent="0.25">
      <c r="A1214" s="1">
        <v>0.76583620370370376</v>
      </c>
      <c r="B1214" s="145" t="s">
        <v>165</v>
      </c>
      <c r="C1214">
        <v>1213</v>
      </c>
      <c r="D1214">
        <v>1</v>
      </c>
      <c r="E1214">
        <v>1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1</v>
      </c>
      <c r="N1214">
        <v>1</v>
      </c>
      <c r="O1214">
        <v>1</v>
      </c>
      <c r="P1214">
        <v>1</v>
      </c>
      <c r="Q1214">
        <v>1</v>
      </c>
      <c r="R1214">
        <v>1</v>
      </c>
      <c r="S1214">
        <v>1</v>
      </c>
    </row>
    <row r="1215" spans="1:19" x14ac:dyDescent="0.25">
      <c r="A1215" s="1">
        <v>0.76583631944444441</v>
      </c>
      <c r="B1215" s="145" t="s">
        <v>165</v>
      </c>
      <c r="C1215">
        <v>1214</v>
      </c>
      <c r="D1215">
        <v>1</v>
      </c>
      <c r="E1215">
        <v>1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1</v>
      </c>
      <c r="N1215">
        <v>1</v>
      </c>
      <c r="O1215">
        <v>1</v>
      </c>
      <c r="P1215">
        <v>1</v>
      </c>
      <c r="Q1215">
        <v>1</v>
      </c>
      <c r="R1215">
        <v>1</v>
      </c>
      <c r="S1215">
        <v>1</v>
      </c>
    </row>
    <row r="1216" spans="1:19" x14ac:dyDescent="0.25">
      <c r="A1216" s="1">
        <v>0.76583643518518518</v>
      </c>
      <c r="B1216" s="145" t="s">
        <v>165</v>
      </c>
      <c r="C1216">
        <v>1215</v>
      </c>
      <c r="D1216">
        <v>1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1</v>
      </c>
      <c r="N1216">
        <v>1</v>
      </c>
      <c r="O1216">
        <v>1</v>
      </c>
      <c r="P1216">
        <v>1</v>
      </c>
      <c r="Q1216">
        <v>1</v>
      </c>
      <c r="R1216">
        <v>1</v>
      </c>
      <c r="S1216">
        <v>1</v>
      </c>
    </row>
    <row r="1217" spans="1:19" x14ac:dyDescent="0.25">
      <c r="A1217" s="1">
        <v>0.76583655092592595</v>
      </c>
      <c r="B1217" s="145" t="s">
        <v>165</v>
      </c>
      <c r="C1217">
        <v>1216</v>
      </c>
      <c r="D1217">
        <v>1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1</v>
      </c>
      <c r="M1217">
        <v>1</v>
      </c>
      <c r="N1217">
        <v>1</v>
      </c>
      <c r="O1217">
        <v>1</v>
      </c>
      <c r="P1217">
        <v>1</v>
      </c>
      <c r="Q1217">
        <v>1</v>
      </c>
      <c r="R1217">
        <v>1</v>
      </c>
      <c r="S1217">
        <v>1</v>
      </c>
    </row>
    <row r="1218" spans="1:19" x14ac:dyDescent="0.25">
      <c r="A1218" s="1">
        <v>0.76583666666666672</v>
      </c>
      <c r="B1218" s="145" t="s">
        <v>165</v>
      </c>
      <c r="C1218">
        <v>1217</v>
      </c>
      <c r="D1218">
        <v>1</v>
      </c>
      <c r="E1218">
        <v>1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1</v>
      </c>
      <c r="N1218">
        <v>1</v>
      </c>
      <c r="O1218">
        <v>1</v>
      </c>
      <c r="P1218">
        <v>1</v>
      </c>
      <c r="Q1218">
        <v>1</v>
      </c>
      <c r="R1218">
        <v>1</v>
      </c>
      <c r="S1218">
        <v>1</v>
      </c>
    </row>
    <row r="1219" spans="1:19" x14ac:dyDescent="0.25">
      <c r="A1219" s="1">
        <v>0.76583678240740738</v>
      </c>
      <c r="B1219" s="145" t="s">
        <v>165</v>
      </c>
      <c r="C1219">
        <v>1218</v>
      </c>
      <c r="D1219">
        <v>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1</v>
      </c>
      <c r="N1219">
        <v>1</v>
      </c>
      <c r="O1219">
        <v>1</v>
      </c>
      <c r="P1219">
        <v>1</v>
      </c>
      <c r="Q1219">
        <v>1</v>
      </c>
      <c r="R1219">
        <v>1</v>
      </c>
      <c r="S1219">
        <v>1</v>
      </c>
    </row>
    <row r="1220" spans="1:19" x14ac:dyDescent="0.25">
      <c r="A1220" s="1">
        <v>0.76583689814814815</v>
      </c>
      <c r="B1220" s="145" t="s">
        <v>165</v>
      </c>
      <c r="C1220">
        <v>1219</v>
      </c>
      <c r="D1220">
        <v>1</v>
      </c>
      <c r="E1220">
        <v>1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</row>
    <row r="1221" spans="1:19" x14ac:dyDescent="0.25">
      <c r="A1221" s="1">
        <v>0.76583701388888892</v>
      </c>
      <c r="B1221" s="145" t="s">
        <v>165</v>
      </c>
      <c r="C1221">
        <v>1220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1</v>
      </c>
      <c r="N1221">
        <v>1</v>
      </c>
      <c r="O1221">
        <v>1</v>
      </c>
      <c r="P1221">
        <v>1</v>
      </c>
      <c r="Q1221">
        <v>1</v>
      </c>
      <c r="R1221">
        <v>1</v>
      </c>
      <c r="S1221">
        <v>1</v>
      </c>
    </row>
    <row r="1222" spans="1:19" x14ac:dyDescent="0.25">
      <c r="A1222" s="1">
        <v>0.76583712962962958</v>
      </c>
      <c r="B1222" s="145" t="s">
        <v>165</v>
      </c>
      <c r="C1222">
        <v>1221</v>
      </c>
      <c r="D1222">
        <v>1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1</v>
      </c>
      <c r="N1222">
        <v>1</v>
      </c>
      <c r="O1222">
        <v>1</v>
      </c>
      <c r="P1222">
        <v>1</v>
      </c>
      <c r="Q1222">
        <v>1</v>
      </c>
      <c r="R1222">
        <v>1</v>
      </c>
      <c r="S1222">
        <v>1</v>
      </c>
    </row>
    <row r="1223" spans="1:19" x14ac:dyDescent="0.25">
      <c r="A1223" s="1">
        <v>0.76583724537037035</v>
      </c>
      <c r="B1223" s="145" t="s">
        <v>165</v>
      </c>
      <c r="C1223">
        <v>1222</v>
      </c>
      <c r="D1223">
        <v>1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1</v>
      </c>
      <c r="O1223">
        <v>1</v>
      </c>
      <c r="P1223">
        <v>1</v>
      </c>
      <c r="Q1223">
        <v>1</v>
      </c>
      <c r="R1223">
        <v>1</v>
      </c>
      <c r="S1223">
        <v>1</v>
      </c>
    </row>
    <row r="1224" spans="1:19" x14ac:dyDescent="0.25">
      <c r="A1224" s="1">
        <v>0.76583736111111111</v>
      </c>
      <c r="B1224" s="145" t="s">
        <v>165</v>
      </c>
      <c r="C1224">
        <v>1223</v>
      </c>
      <c r="D1224">
        <v>1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1</v>
      </c>
      <c r="O1224">
        <v>1</v>
      </c>
      <c r="P1224">
        <v>1</v>
      </c>
      <c r="Q1224">
        <v>1</v>
      </c>
      <c r="R1224">
        <v>1</v>
      </c>
      <c r="S1224">
        <v>1</v>
      </c>
    </row>
    <row r="1225" spans="1:19" x14ac:dyDescent="0.25">
      <c r="A1225" s="1">
        <v>0.76583747685185188</v>
      </c>
      <c r="B1225" s="145" t="s">
        <v>165</v>
      </c>
      <c r="C1225">
        <v>1224</v>
      </c>
      <c r="D1225">
        <v>1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1</v>
      </c>
      <c r="M1225">
        <v>1</v>
      </c>
      <c r="N1225">
        <v>1</v>
      </c>
      <c r="O1225">
        <v>1</v>
      </c>
      <c r="P1225">
        <v>1</v>
      </c>
      <c r="Q1225">
        <v>1</v>
      </c>
      <c r="R1225">
        <v>1</v>
      </c>
      <c r="S1225">
        <v>1</v>
      </c>
    </row>
    <row r="1226" spans="1:19" x14ac:dyDescent="0.25">
      <c r="A1226" s="1">
        <v>0.76583759259259254</v>
      </c>
      <c r="B1226" s="145" t="s">
        <v>165</v>
      </c>
      <c r="C1226">
        <v>1225</v>
      </c>
      <c r="D1226">
        <v>1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1</v>
      </c>
      <c r="M1226">
        <v>1</v>
      </c>
      <c r="N1226">
        <v>1</v>
      </c>
      <c r="O1226">
        <v>1</v>
      </c>
      <c r="P1226">
        <v>1</v>
      </c>
      <c r="Q1226">
        <v>1</v>
      </c>
      <c r="R1226">
        <v>1</v>
      </c>
      <c r="S1226">
        <v>1</v>
      </c>
    </row>
    <row r="1227" spans="1:19" x14ac:dyDescent="0.25">
      <c r="A1227" s="1">
        <v>0.76583770833333331</v>
      </c>
      <c r="B1227" s="145" t="s">
        <v>165</v>
      </c>
      <c r="C1227">
        <v>1226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1</v>
      </c>
      <c r="M1227">
        <v>1</v>
      </c>
      <c r="N1227">
        <v>1</v>
      </c>
      <c r="O1227">
        <v>1</v>
      </c>
      <c r="P1227">
        <v>1</v>
      </c>
      <c r="Q1227">
        <v>1</v>
      </c>
      <c r="R1227">
        <v>1</v>
      </c>
      <c r="S1227">
        <v>1</v>
      </c>
    </row>
    <row r="1228" spans="1:19" x14ac:dyDescent="0.25">
      <c r="A1228" s="1">
        <v>0.76583782407407408</v>
      </c>
      <c r="B1228" s="145" t="s">
        <v>165</v>
      </c>
      <c r="C1228">
        <v>1227</v>
      </c>
      <c r="D1228">
        <v>1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1</v>
      </c>
      <c r="N1228">
        <v>1</v>
      </c>
      <c r="O1228">
        <v>1</v>
      </c>
      <c r="P1228">
        <v>1</v>
      </c>
      <c r="Q1228">
        <v>1</v>
      </c>
      <c r="R1228">
        <v>1</v>
      </c>
      <c r="S1228">
        <v>1</v>
      </c>
    </row>
    <row r="1229" spans="1:19" x14ac:dyDescent="0.25">
      <c r="A1229" s="1">
        <v>0.76583792824074071</v>
      </c>
      <c r="B1229" s="145" t="s">
        <v>165</v>
      </c>
      <c r="C1229">
        <v>1228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1</v>
      </c>
      <c r="N1229">
        <v>1</v>
      </c>
      <c r="O1229">
        <v>1</v>
      </c>
      <c r="P1229">
        <v>1</v>
      </c>
      <c r="Q1229">
        <v>1</v>
      </c>
      <c r="R1229">
        <v>1</v>
      </c>
      <c r="S1229">
        <v>1</v>
      </c>
    </row>
    <row r="1230" spans="1:19" x14ac:dyDescent="0.25">
      <c r="A1230" s="1">
        <v>0.76583804398148148</v>
      </c>
      <c r="B1230" s="145" t="s">
        <v>165</v>
      </c>
      <c r="C1230">
        <v>1229</v>
      </c>
      <c r="D1230">
        <v>1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</row>
    <row r="1231" spans="1:19" x14ac:dyDescent="0.25">
      <c r="A1231" s="1">
        <v>0.76583815972222224</v>
      </c>
      <c r="B1231" s="145" t="s">
        <v>165</v>
      </c>
      <c r="C1231">
        <v>1230</v>
      </c>
      <c r="D1231">
        <v>1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</row>
    <row r="1232" spans="1:19" x14ac:dyDescent="0.25">
      <c r="A1232" s="1">
        <v>0.76583827546296301</v>
      </c>
      <c r="B1232" s="145" t="s">
        <v>165</v>
      </c>
      <c r="C1232">
        <v>1231</v>
      </c>
      <c r="D1232">
        <v>1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</row>
    <row r="1233" spans="1:19" x14ac:dyDescent="0.25">
      <c r="A1233" s="1">
        <v>0.76583839120370367</v>
      </c>
      <c r="B1233" s="145" t="s">
        <v>165</v>
      </c>
      <c r="C1233">
        <v>1232</v>
      </c>
      <c r="D1233">
        <v>1</v>
      </c>
      <c r="E1233">
        <v>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1</v>
      </c>
      <c r="M1233">
        <v>1</v>
      </c>
      <c r="N1233">
        <v>1</v>
      </c>
      <c r="O1233">
        <v>1</v>
      </c>
      <c r="P1233">
        <v>1</v>
      </c>
      <c r="Q1233">
        <v>1</v>
      </c>
      <c r="R1233">
        <v>1</v>
      </c>
      <c r="S1233">
        <v>1</v>
      </c>
    </row>
    <row r="1234" spans="1:19" x14ac:dyDescent="0.25">
      <c r="A1234" s="1">
        <v>0.76583850694444444</v>
      </c>
      <c r="B1234" s="145" t="s">
        <v>165</v>
      </c>
      <c r="C1234">
        <v>1233</v>
      </c>
      <c r="D1234">
        <v>1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1</v>
      </c>
      <c r="N1234">
        <v>1</v>
      </c>
      <c r="O1234">
        <v>1</v>
      </c>
      <c r="P1234">
        <v>1</v>
      </c>
      <c r="Q1234">
        <v>1</v>
      </c>
      <c r="R1234">
        <v>1</v>
      </c>
      <c r="S1234">
        <v>1</v>
      </c>
    </row>
    <row r="1235" spans="1:19" x14ac:dyDescent="0.25">
      <c r="A1235" s="1">
        <v>0.76583862268518521</v>
      </c>
      <c r="B1235" s="145" t="s">
        <v>165</v>
      </c>
      <c r="C1235">
        <v>1234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1</v>
      </c>
      <c r="M1235">
        <v>1</v>
      </c>
      <c r="N1235">
        <v>1</v>
      </c>
      <c r="O1235">
        <v>1</v>
      </c>
      <c r="P1235">
        <v>1</v>
      </c>
      <c r="Q1235">
        <v>1</v>
      </c>
      <c r="R1235">
        <v>1</v>
      </c>
      <c r="S1235">
        <v>1</v>
      </c>
    </row>
    <row r="1236" spans="1:19" x14ac:dyDescent="0.25">
      <c r="A1236" s="1">
        <v>0.76583873842592598</v>
      </c>
      <c r="B1236" s="145" t="s">
        <v>165</v>
      </c>
      <c r="C1236">
        <v>1235</v>
      </c>
      <c r="D1236">
        <v>1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1</v>
      </c>
      <c r="N1236">
        <v>1</v>
      </c>
      <c r="O1236">
        <v>1</v>
      </c>
      <c r="P1236">
        <v>1</v>
      </c>
      <c r="Q1236">
        <v>1</v>
      </c>
      <c r="R1236">
        <v>1</v>
      </c>
      <c r="S1236">
        <v>1</v>
      </c>
    </row>
    <row r="1237" spans="1:19" x14ac:dyDescent="0.25">
      <c r="A1237" s="1">
        <v>0.76583885416666664</v>
      </c>
      <c r="B1237" s="145" t="s">
        <v>165</v>
      </c>
      <c r="C1237">
        <v>1236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1</v>
      </c>
      <c r="N1237">
        <v>1</v>
      </c>
      <c r="O1237">
        <v>1</v>
      </c>
      <c r="P1237">
        <v>1</v>
      </c>
      <c r="Q1237">
        <v>1</v>
      </c>
      <c r="R1237">
        <v>1</v>
      </c>
      <c r="S1237">
        <v>1</v>
      </c>
    </row>
    <row r="1238" spans="1:19" x14ac:dyDescent="0.25">
      <c r="A1238" s="1">
        <v>0.76583896990740741</v>
      </c>
      <c r="B1238" s="145" t="s">
        <v>165</v>
      </c>
      <c r="C1238">
        <v>1237</v>
      </c>
      <c r="D1238">
        <v>1</v>
      </c>
      <c r="E1238">
        <v>1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1</v>
      </c>
      <c r="N1238">
        <v>1</v>
      </c>
      <c r="O1238">
        <v>1</v>
      </c>
      <c r="P1238">
        <v>1</v>
      </c>
      <c r="Q1238">
        <v>1</v>
      </c>
      <c r="R1238">
        <v>1</v>
      </c>
      <c r="S1238">
        <v>1</v>
      </c>
    </row>
    <row r="1239" spans="1:19" x14ac:dyDescent="0.25">
      <c r="A1239" s="1">
        <v>0.76583908564814818</v>
      </c>
      <c r="B1239" s="145" t="s">
        <v>165</v>
      </c>
      <c r="C1239">
        <v>1238</v>
      </c>
      <c r="D1239">
        <v>1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1</v>
      </c>
      <c r="M1239">
        <v>1</v>
      </c>
      <c r="N1239">
        <v>1</v>
      </c>
      <c r="O1239">
        <v>1</v>
      </c>
      <c r="P1239">
        <v>1</v>
      </c>
      <c r="Q1239">
        <v>1</v>
      </c>
      <c r="R1239">
        <v>1</v>
      </c>
      <c r="S1239">
        <v>1</v>
      </c>
    </row>
    <row r="1240" spans="1:19" x14ac:dyDescent="0.25">
      <c r="A1240" s="1">
        <v>0.76583920138888883</v>
      </c>
      <c r="B1240" s="145" t="s">
        <v>165</v>
      </c>
      <c r="C1240">
        <v>1239</v>
      </c>
      <c r="D1240">
        <v>1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1</v>
      </c>
      <c r="N1240">
        <v>1</v>
      </c>
      <c r="O1240">
        <v>1</v>
      </c>
      <c r="P1240">
        <v>1</v>
      </c>
      <c r="Q1240">
        <v>1</v>
      </c>
      <c r="R1240">
        <v>1</v>
      </c>
      <c r="S1240">
        <v>1</v>
      </c>
    </row>
    <row r="1241" spans="1:19" x14ac:dyDescent="0.25">
      <c r="A1241" s="1">
        <v>0.7658393171296296</v>
      </c>
      <c r="B1241" s="145" t="s">
        <v>165</v>
      </c>
      <c r="C1241">
        <v>1240</v>
      </c>
      <c r="D1241">
        <v>1</v>
      </c>
      <c r="E1241">
        <v>1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1</v>
      </c>
      <c r="M1241">
        <v>1</v>
      </c>
      <c r="N1241">
        <v>1</v>
      </c>
      <c r="O1241">
        <v>1</v>
      </c>
      <c r="P1241">
        <v>1</v>
      </c>
      <c r="Q1241">
        <v>1</v>
      </c>
      <c r="R1241">
        <v>1</v>
      </c>
      <c r="S1241">
        <v>1</v>
      </c>
    </row>
    <row r="1242" spans="1:19" x14ac:dyDescent="0.25">
      <c r="A1242" s="1">
        <v>0.76583943287037037</v>
      </c>
      <c r="B1242" s="145" t="s">
        <v>165</v>
      </c>
      <c r="C1242">
        <v>1241</v>
      </c>
      <c r="D1242">
        <v>1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</row>
    <row r="1243" spans="1:19" x14ac:dyDescent="0.25">
      <c r="A1243" s="1">
        <v>0.76583954861111114</v>
      </c>
      <c r="B1243" s="145" t="s">
        <v>165</v>
      </c>
      <c r="C1243">
        <v>1242</v>
      </c>
      <c r="D1243">
        <v>1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1</v>
      </c>
      <c r="O1243">
        <v>1</v>
      </c>
      <c r="P1243">
        <v>1</v>
      </c>
      <c r="Q1243">
        <v>1</v>
      </c>
      <c r="R1243">
        <v>1</v>
      </c>
      <c r="S1243">
        <v>1</v>
      </c>
    </row>
    <row r="1244" spans="1:19" x14ac:dyDescent="0.25">
      <c r="A1244" s="1">
        <v>0.7658396643518518</v>
      </c>
      <c r="B1244" s="145" t="s">
        <v>165</v>
      </c>
      <c r="C1244">
        <v>1243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1</v>
      </c>
      <c r="O1244">
        <v>1</v>
      </c>
      <c r="P1244">
        <v>1</v>
      </c>
      <c r="Q1244">
        <v>1</v>
      </c>
      <c r="R1244">
        <v>1</v>
      </c>
      <c r="S1244">
        <v>1</v>
      </c>
    </row>
    <row r="1245" spans="1:19" x14ac:dyDescent="0.25">
      <c r="A1245" s="1">
        <v>0.76583978009259257</v>
      </c>
      <c r="B1245" s="145" t="s">
        <v>165</v>
      </c>
      <c r="C1245">
        <v>1244</v>
      </c>
      <c r="D1245">
        <v>1</v>
      </c>
      <c r="E1245">
        <v>1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1</v>
      </c>
      <c r="M1245">
        <v>1</v>
      </c>
      <c r="N1245">
        <v>1</v>
      </c>
      <c r="O1245">
        <v>1</v>
      </c>
      <c r="P1245">
        <v>1</v>
      </c>
      <c r="Q1245">
        <v>1</v>
      </c>
      <c r="R1245">
        <v>1</v>
      </c>
      <c r="S1245">
        <v>1</v>
      </c>
    </row>
    <row r="1246" spans="1:19" x14ac:dyDescent="0.25">
      <c r="A1246" s="1">
        <v>0.76583989583333334</v>
      </c>
      <c r="B1246" s="145" t="s">
        <v>165</v>
      </c>
      <c r="C1246">
        <v>1245</v>
      </c>
      <c r="D1246">
        <v>1</v>
      </c>
      <c r="E1246">
        <v>1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1</v>
      </c>
      <c r="O1246">
        <v>1</v>
      </c>
      <c r="P1246">
        <v>1</v>
      </c>
      <c r="Q1246">
        <v>1</v>
      </c>
      <c r="R1246">
        <v>1</v>
      </c>
      <c r="S1246">
        <v>1</v>
      </c>
    </row>
    <row r="1247" spans="1:19" x14ac:dyDescent="0.25">
      <c r="A1247" s="1">
        <v>0.76584001157407411</v>
      </c>
      <c r="B1247" s="145" t="s">
        <v>165</v>
      </c>
      <c r="C1247">
        <v>1246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1</v>
      </c>
      <c r="M1247">
        <v>1</v>
      </c>
      <c r="N1247">
        <v>1</v>
      </c>
      <c r="O1247">
        <v>1</v>
      </c>
      <c r="P1247">
        <v>1</v>
      </c>
      <c r="Q1247">
        <v>1</v>
      </c>
      <c r="R1247">
        <v>1</v>
      </c>
      <c r="S1247">
        <v>1</v>
      </c>
    </row>
    <row r="1248" spans="1:19" x14ac:dyDescent="0.25">
      <c r="A1248" s="1">
        <v>0.76584012731481477</v>
      </c>
      <c r="B1248" s="145" t="s">
        <v>165</v>
      </c>
      <c r="C1248">
        <v>1247</v>
      </c>
      <c r="D1248">
        <v>1</v>
      </c>
      <c r="E1248">
        <v>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1</v>
      </c>
      <c r="M1248">
        <v>1</v>
      </c>
      <c r="N1248">
        <v>1</v>
      </c>
      <c r="O1248">
        <v>1</v>
      </c>
      <c r="P1248">
        <v>1</v>
      </c>
      <c r="Q1248">
        <v>1</v>
      </c>
      <c r="R1248">
        <v>1</v>
      </c>
      <c r="S1248">
        <v>1</v>
      </c>
    </row>
    <row r="1249" spans="1:19" x14ac:dyDescent="0.25">
      <c r="A1249" s="1">
        <v>0.76584024305555554</v>
      </c>
      <c r="B1249" s="145" t="s">
        <v>165</v>
      </c>
      <c r="C1249">
        <v>1248</v>
      </c>
      <c r="D1249">
        <v>1</v>
      </c>
      <c r="E1249">
        <v>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1</v>
      </c>
      <c r="M1249">
        <v>1</v>
      </c>
      <c r="N1249">
        <v>1</v>
      </c>
      <c r="O1249">
        <v>1</v>
      </c>
      <c r="P1249">
        <v>1</v>
      </c>
      <c r="Q1249">
        <v>1</v>
      </c>
      <c r="R1249">
        <v>1</v>
      </c>
      <c r="S1249">
        <v>1</v>
      </c>
    </row>
    <row r="1250" spans="1:19" x14ac:dyDescent="0.25">
      <c r="A1250" s="1">
        <v>0.76584035879629631</v>
      </c>
      <c r="B1250" s="145" t="s">
        <v>165</v>
      </c>
      <c r="C1250">
        <v>1249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1</v>
      </c>
      <c r="N1250">
        <v>1</v>
      </c>
      <c r="O1250">
        <v>1</v>
      </c>
      <c r="P1250">
        <v>1</v>
      </c>
      <c r="Q1250">
        <v>1</v>
      </c>
      <c r="R1250">
        <v>1</v>
      </c>
      <c r="S1250">
        <v>1</v>
      </c>
    </row>
    <row r="1251" spans="1:19" x14ac:dyDescent="0.25">
      <c r="A1251" s="1">
        <v>0.76584047453703707</v>
      </c>
      <c r="B1251" s="145" t="s">
        <v>165</v>
      </c>
      <c r="C1251">
        <v>1250</v>
      </c>
      <c r="D1251">
        <v>1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1</v>
      </c>
      <c r="N1251">
        <v>1</v>
      </c>
      <c r="O1251">
        <v>1</v>
      </c>
      <c r="P1251">
        <v>1</v>
      </c>
      <c r="Q1251">
        <v>1</v>
      </c>
      <c r="R1251">
        <v>1</v>
      </c>
      <c r="S1251">
        <v>1</v>
      </c>
    </row>
    <row r="1252" spans="1:19" x14ac:dyDescent="0.25">
      <c r="A1252" s="1">
        <v>0.76584059027777773</v>
      </c>
      <c r="B1252" s="145" t="s">
        <v>165</v>
      </c>
      <c r="C1252">
        <v>1251</v>
      </c>
      <c r="D1252">
        <v>1</v>
      </c>
      <c r="E1252">
        <v>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1</v>
      </c>
      <c r="N1252">
        <v>1</v>
      </c>
      <c r="O1252">
        <v>1</v>
      </c>
      <c r="P1252">
        <v>1</v>
      </c>
      <c r="Q1252">
        <v>1</v>
      </c>
      <c r="R1252">
        <v>1</v>
      </c>
      <c r="S1252">
        <v>1</v>
      </c>
    </row>
    <row r="1253" spans="1:19" x14ac:dyDescent="0.25">
      <c r="A1253" s="1">
        <v>0.7658407060185185</v>
      </c>
      <c r="B1253" s="145" t="s">
        <v>165</v>
      </c>
      <c r="C1253">
        <v>1252</v>
      </c>
      <c r="D1253">
        <v>1</v>
      </c>
      <c r="E1253">
        <v>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1</v>
      </c>
      <c r="M1253">
        <v>1</v>
      </c>
      <c r="N1253">
        <v>1</v>
      </c>
      <c r="O1253">
        <v>1</v>
      </c>
      <c r="P1253">
        <v>1</v>
      </c>
      <c r="Q1253">
        <v>1</v>
      </c>
      <c r="R1253">
        <v>1</v>
      </c>
      <c r="S1253">
        <v>1</v>
      </c>
    </row>
    <row r="1254" spans="1:19" x14ac:dyDescent="0.25">
      <c r="A1254" s="1">
        <v>0.76584082175925927</v>
      </c>
      <c r="B1254" s="145" t="s">
        <v>165</v>
      </c>
      <c r="C1254">
        <v>1253</v>
      </c>
      <c r="D1254">
        <v>1</v>
      </c>
      <c r="E1254">
        <v>1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1</v>
      </c>
      <c r="N1254">
        <v>1</v>
      </c>
      <c r="O1254">
        <v>1</v>
      </c>
      <c r="P1254">
        <v>1</v>
      </c>
      <c r="Q1254">
        <v>1</v>
      </c>
      <c r="R1254">
        <v>1</v>
      </c>
      <c r="S1254">
        <v>1</v>
      </c>
    </row>
    <row r="1255" spans="1:19" x14ac:dyDescent="0.25">
      <c r="A1255" s="1">
        <v>0.76584093750000004</v>
      </c>
      <c r="B1255" s="145" t="s">
        <v>165</v>
      </c>
      <c r="C1255">
        <v>1254</v>
      </c>
      <c r="D1255">
        <v>1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1</v>
      </c>
      <c r="M1255">
        <v>1</v>
      </c>
      <c r="N1255">
        <v>1</v>
      </c>
      <c r="O1255">
        <v>1</v>
      </c>
      <c r="P1255">
        <v>1</v>
      </c>
      <c r="Q1255">
        <v>1</v>
      </c>
      <c r="R1255">
        <v>1</v>
      </c>
      <c r="S1255">
        <v>1</v>
      </c>
    </row>
    <row r="1256" spans="1:19" x14ac:dyDescent="0.25">
      <c r="A1256" s="1">
        <v>0.7658410532407407</v>
      </c>
      <c r="B1256" s="145" t="s">
        <v>165</v>
      </c>
      <c r="C1256">
        <v>1255</v>
      </c>
      <c r="D1256">
        <v>1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1</v>
      </c>
      <c r="N1256">
        <v>1</v>
      </c>
      <c r="O1256">
        <v>1</v>
      </c>
      <c r="P1256">
        <v>1</v>
      </c>
      <c r="Q1256">
        <v>1</v>
      </c>
      <c r="R1256">
        <v>1</v>
      </c>
      <c r="S1256">
        <v>1</v>
      </c>
    </row>
    <row r="1257" spans="1:19" x14ac:dyDescent="0.25">
      <c r="A1257" s="1">
        <v>0.76584116898148147</v>
      </c>
      <c r="B1257" s="145" t="s">
        <v>165</v>
      </c>
      <c r="C1257">
        <v>1256</v>
      </c>
      <c r="D1257">
        <v>1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1</v>
      </c>
      <c r="N1257">
        <v>1</v>
      </c>
      <c r="O1257">
        <v>1</v>
      </c>
      <c r="P1257">
        <v>1</v>
      </c>
      <c r="Q1257">
        <v>1</v>
      </c>
      <c r="R1257">
        <v>1</v>
      </c>
      <c r="S1257">
        <v>1</v>
      </c>
    </row>
    <row r="1258" spans="1:19" x14ac:dyDescent="0.25">
      <c r="A1258" s="1">
        <v>0.76584128472222224</v>
      </c>
      <c r="B1258" s="145" t="s">
        <v>165</v>
      </c>
      <c r="C1258">
        <v>1257</v>
      </c>
      <c r="D1258">
        <v>1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1</v>
      </c>
      <c r="N1258">
        <v>1</v>
      </c>
      <c r="O1258">
        <v>1</v>
      </c>
      <c r="P1258">
        <v>1</v>
      </c>
      <c r="Q1258">
        <v>1</v>
      </c>
      <c r="R1258">
        <v>1</v>
      </c>
      <c r="S1258">
        <v>1</v>
      </c>
    </row>
    <row r="1259" spans="1:19" x14ac:dyDescent="0.25">
      <c r="A1259" s="1">
        <v>0.76584140046296301</v>
      </c>
      <c r="B1259" s="145" t="s">
        <v>165</v>
      </c>
      <c r="C1259">
        <v>1258</v>
      </c>
      <c r="D1259">
        <v>1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1</v>
      </c>
      <c r="N1259">
        <v>1</v>
      </c>
      <c r="O1259">
        <v>1</v>
      </c>
      <c r="P1259">
        <v>1</v>
      </c>
      <c r="Q1259">
        <v>1</v>
      </c>
      <c r="R1259">
        <v>1</v>
      </c>
      <c r="S1259">
        <v>1</v>
      </c>
    </row>
    <row r="1260" spans="1:19" x14ac:dyDescent="0.25">
      <c r="A1260" s="1">
        <v>0.76584163194444443</v>
      </c>
      <c r="B1260" s="145" t="s">
        <v>165</v>
      </c>
      <c r="C1260">
        <v>1259</v>
      </c>
      <c r="D1260">
        <v>1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1</v>
      </c>
      <c r="N1260">
        <v>1</v>
      </c>
      <c r="O1260">
        <v>1</v>
      </c>
      <c r="P1260">
        <v>1</v>
      </c>
      <c r="Q1260">
        <v>1</v>
      </c>
      <c r="R1260">
        <v>1</v>
      </c>
      <c r="S1260">
        <v>1</v>
      </c>
    </row>
    <row r="1261" spans="1:19" x14ac:dyDescent="0.25">
      <c r="A1261" s="1">
        <v>0.7658417476851852</v>
      </c>
      <c r="B1261" s="145" t="s">
        <v>165</v>
      </c>
      <c r="C1261">
        <v>1260</v>
      </c>
      <c r="D1261">
        <v>1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1</v>
      </c>
      <c r="M1261">
        <v>1</v>
      </c>
      <c r="N1261">
        <v>1</v>
      </c>
      <c r="O1261">
        <v>1</v>
      </c>
      <c r="P1261">
        <v>1</v>
      </c>
      <c r="Q1261">
        <v>1</v>
      </c>
      <c r="R1261">
        <v>1</v>
      </c>
      <c r="S1261">
        <v>1</v>
      </c>
    </row>
    <row r="1262" spans="1:19" x14ac:dyDescent="0.25">
      <c r="A1262" s="1">
        <v>0.76584186342592597</v>
      </c>
      <c r="B1262" s="145" t="s">
        <v>165</v>
      </c>
      <c r="C1262">
        <v>1261</v>
      </c>
      <c r="D1262">
        <v>1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1</v>
      </c>
      <c r="O1262">
        <v>1</v>
      </c>
      <c r="P1262">
        <v>1</v>
      </c>
      <c r="Q1262">
        <v>1</v>
      </c>
      <c r="R1262">
        <v>1</v>
      </c>
      <c r="S1262">
        <v>1</v>
      </c>
    </row>
    <row r="1263" spans="1:19" x14ac:dyDescent="0.25">
      <c r="A1263" s="1">
        <v>0.76584197916666663</v>
      </c>
      <c r="B1263" s="145" t="s">
        <v>165</v>
      </c>
      <c r="C1263">
        <v>1262</v>
      </c>
      <c r="D1263">
        <v>1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</v>
      </c>
      <c r="N1263">
        <v>1</v>
      </c>
      <c r="O1263">
        <v>1</v>
      </c>
      <c r="P1263">
        <v>1</v>
      </c>
      <c r="Q1263">
        <v>1</v>
      </c>
      <c r="R1263">
        <v>1</v>
      </c>
      <c r="S1263">
        <v>1</v>
      </c>
    </row>
    <row r="1264" spans="1:19" x14ac:dyDescent="0.25">
      <c r="A1264" s="1">
        <v>0.7658420949074074</v>
      </c>
      <c r="B1264" s="145" t="s">
        <v>165</v>
      </c>
      <c r="C1264">
        <v>1263</v>
      </c>
      <c r="D1264">
        <v>1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1</v>
      </c>
      <c r="M1264">
        <v>1</v>
      </c>
      <c r="N1264">
        <v>1</v>
      </c>
      <c r="O1264">
        <v>1</v>
      </c>
      <c r="P1264">
        <v>1</v>
      </c>
      <c r="Q1264">
        <v>1</v>
      </c>
      <c r="R1264">
        <v>1</v>
      </c>
      <c r="S1264">
        <v>1</v>
      </c>
    </row>
    <row r="1265" spans="1:19" x14ac:dyDescent="0.25">
      <c r="A1265" s="1">
        <v>0.76584221064814817</v>
      </c>
      <c r="B1265" s="145" t="s">
        <v>165</v>
      </c>
      <c r="C1265">
        <v>1264</v>
      </c>
      <c r="D1265">
        <v>1</v>
      </c>
      <c r="E1265">
        <v>1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</v>
      </c>
      <c r="P1265">
        <v>1</v>
      </c>
      <c r="Q1265">
        <v>1</v>
      </c>
      <c r="R1265">
        <v>1</v>
      </c>
      <c r="S1265">
        <v>1</v>
      </c>
    </row>
    <row r="1266" spans="1:19" x14ac:dyDescent="0.25">
      <c r="A1266" s="1">
        <v>0.76584232638888894</v>
      </c>
      <c r="B1266" s="145" t="s">
        <v>165</v>
      </c>
      <c r="C1266">
        <v>1265</v>
      </c>
      <c r="D1266">
        <v>1</v>
      </c>
      <c r="E1266">
        <v>1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1</v>
      </c>
      <c r="M1266">
        <v>1</v>
      </c>
      <c r="N1266">
        <v>1</v>
      </c>
      <c r="O1266">
        <v>1</v>
      </c>
      <c r="P1266">
        <v>1</v>
      </c>
      <c r="Q1266">
        <v>1</v>
      </c>
      <c r="R1266">
        <v>1</v>
      </c>
      <c r="S1266">
        <v>1</v>
      </c>
    </row>
    <row r="1267" spans="1:19" x14ac:dyDescent="0.25">
      <c r="A1267" s="1">
        <v>0.7658424421296296</v>
      </c>
      <c r="B1267" s="145" t="s">
        <v>165</v>
      </c>
      <c r="C1267">
        <v>1266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1</v>
      </c>
      <c r="O1267">
        <v>1</v>
      </c>
      <c r="P1267">
        <v>1</v>
      </c>
      <c r="Q1267">
        <v>1</v>
      </c>
      <c r="R1267">
        <v>1</v>
      </c>
      <c r="S1267">
        <v>1</v>
      </c>
    </row>
    <row r="1268" spans="1:19" x14ac:dyDescent="0.25">
      <c r="A1268" s="1">
        <v>0.76584255787037037</v>
      </c>
      <c r="B1268" s="145" t="s">
        <v>165</v>
      </c>
      <c r="C1268">
        <v>1267</v>
      </c>
      <c r="D1268">
        <v>1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1</v>
      </c>
      <c r="N1268">
        <v>1</v>
      </c>
      <c r="O1268">
        <v>1</v>
      </c>
      <c r="P1268">
        <v>1</v>
      </c>
      <c r="Q1268">
        <v>1</v>
      </c>
      <c r="R1268">
        <v>1</v>
      </c>
      <c r="S1268">
        <v>1</v>
      </c>
    </row>
    <row r="1269" spans="1:19" x14ac:dyDescent="0.25">
      <c r="A1269" s="1">
        <v>0.76584267361111114</v>
      </c>
      <c r="B1269" s="145" t="s">
        <v>165</v>
      </c>
      <c r="C1269">
        <v>1268</v>
      </c>
      <c r="D1269">
        <v>1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1</v>
      </c>
      <c r="O1269">
        <v>1</v>
      </c>
      <c r="P1269">
        <v>1</v>
      </c>
      <c r="Q1269">
        <v>1</v>
      </c>
      <c r="R1269">
        <v>1</v>
      </c>
      <c r="S1269">
        <v>1</v>
      </c>
    </row>
    <row r="1270" spans="1:19" x14ac:dyDescent="0.25">
      <c r="A1270" s="1">
        <v>0.7658427893518519</v>
      </c>
      <c r="B1270" s="145" t="s">
        <v>165</v>
      </c>
      <c r="C1270">
        <v>1269</v>
      </c>
      <c r="D1270">
        <v>1</v>
      </c>
      <c r="E1270">
        <v>1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1</v>
      </c>
      <c r="O1270">
        <v>1</v>
      </c>
      <c r="P1270">
        <v>1</v>
      </c>
      <c r="Q1270">
        <v>1</v>
      </c>
      <c r="R1270">
        <v>1</v>
      </c>
      <c r="S1270">
        <v>1</v>
      </c>
    </row>
    <row r="1271" spans="1:19" x14ac:dyDescent="0.25">
      <c r="A1271" s="1">
        <v>0.76584290509259256</v>
      </c>
      <c r="B1271" s="145" t="s">
        <v>165</v>
      </c>
      <c r="C1271">
        <v>1270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1</v>
      </c>
      <c r="M1271">
        <v>1</v>
      </c>
      <c r="N1271">
        <v>1</v>
      </c>
      <c r="O1271">
        <v>1</v>
      </c>
      <c r="P1271">
        <v>1</v>
      </c>
      <c r="Q1271">
        <v>1</v>
      </c>
      <c r="R1271">
        <v>1</v>
      </c>
      <c r="S1271">
        <v>1</v>
      </c>
    </row>
    <row r="1272" spans="1:19" x14ac:dyDescent="0.25">
      <c r="A1272" s="1">
        <v>0.76584302083333333</v>
      </c>
      <c r="B1272" s="145" t="s">
        <v>165</v>
      </c>
      <c r="C1272">
        <v>1271</v>
      </c>
      <c r="D1272">
        <v>1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1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</row>
    <row r="1273" spans="1:19" x14ac:dyDescent="0.25">
      <c r="A1273" s="1">
        <v>0.7658431365740741</v>
      </c>
      <c r="B1273" s="145" t="s">
        <v>165</v>
      </c>
      <c r="C1273">
        <v>1272</v>
      </c>
      <c r="D1273">
        <v>1</v>
      </c>
      <c r="E1273">
        <v>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1</v>
      </c>
      <c r="N1273">
        <v>1</v>
      </c>
      <c r="O1273">
        <v>1</v>
      </c>
      <c r="P1273">
        <v>1</v>
      </c>
      <c r="Q1273">
        <v>1</v>
      </c>
      <c r="R1273">
        <v>1</v>
      </c>
      <c r="S1273">
        <v>1</v>
      </c>
    </row>
    <row r="1274" spans="1:19" x14ac:dyDescent="0.25">
      <c r="A1274" s="1">
        <v>0.76584325231481476</v>
      </c>
      <c r="B1274" s="145" t="s">
        <v>165</v>
      </c>
      <c r="C1274">
        <v>1273</v>
      </c>
      <c r="D1274">
        <v>1</v>
      </c>
      <c r="E1274">
        <v>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1</v>
      </c>
      <c r="M1274">
        <v>1</v>
      </c>
      <c r="N1274">
        <v>1</v>
      </c>
      <c r="O1274">
        <v>1</v>
      </c>
      <c r="P1274">
        <v>1</v>
      </c>
      <c r="Q1274">
        <v>1</v>
      </c>
      <c r="R1274">
        <v>1</v>
      </c>
      <c r="S1274">
        <v>1</v>
      </c>
    </row>
    <row r="1275" spans="1:19" x14ac:dyDescent="0.25">
      <c r="A1275" s="1">
        <v>0.76584336805555553</v>
      </c>
      <c r="B1275" s="145" t="s">
        <v>165</v>
      </c>
      <c r="C1275">
        <v>1274</v>
      </c>
      <c r="D1275">
        <v>1</v>
      </c>
      <c r="E1275">
        <v>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1</v>
      </c>
      <c r="M1275">
        <v>1</v>
      </c>
      <c r="N1275">
        <v>1</v>
      </c>
      <c r="O1275">
        <v>1</v>
      </c>
      <c r="P1275">
        <v>1</v>
      </c>
      <c r="Q1275">
        <v>1</v>
      </c>
      <c r="R1275">
        <v>1</v>
      </c>
      <c r="S1275">
        <v>1</v>
      </c>
    </row>
    <row r="1276" spans="1:19" x14ac:dyDescent="0.25">
      <c r="A1276" s="1">
        <v>0.7658434837962963</v>
      </c>
      <c r="B1276" s="145" t="s">
        <v>165</v>
      </c>
      <c r="C1276">
        <v>1275</v>
      </c>
      <c r="D1276">
        <v>1</v>
      </c>
      <c r="E1276">
        <v>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1</v>
      </c>
      <c r="N1276">
        <v>1</v>
      </c>
      <c r="O1276">
        <v>1</v>
      </c>
      <c r="P1276">
        <v>1</v>
      </c>
      <c r="Q1276">
        <v>1</v>
      </c>
      <c r="R1276">
        <v>1</v>
      </c>
      <c r="S1276">
        <v>1</v>
      </c>
    </row>
    <row r="1277" spans="1:19" x14ac:dyDescent="0.25">
      <c r="A1277" s="1">
        <v>0.76584359953703707</v>
      </c>
      <c r="B1277" s="145" t="s">
        <v>165</v>
      </c>
      <c r="C1277">
        <v>1276</v>
      </c>
      <c r="D1277">
        <v>1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1</v>
      </c>
      <c r="M1277">
        <v>1</v>
      </c>
      <c r="N1277">
        <v>1</v>
      </c>
      <c r="O1277">
        <v>1</v>
      </c>
      <c r="P1277">
        <v>1</v>
      </c>
      <c r="Q1277">
        <v>1</v>
      </c>
      <c r="R1277">
        <v>1</v>
      </c>
      <c r="S1277">
        <v>1</v>
      </c>
    </row>
    <row r="1278" spans="1:19" x14ac:dyDescent="0.25">
      <c r="A1278" s="1">
        <v>0.76584371527777773</v>
      </c>
      <c r="B1278" s="145" t="s">
        <v>165</v>
      </c>
      <c r="C1278">
        <v>1277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1</v>
      </c>
      <c r="N1278">
        <v>1</v>
      </c>
      <c r="O1278">
        <v>1</v>
      </c>
      <c r="P1278">
        <v>1</v>
      </c>
      <c r="Q1278">
        <v>1</v>
      </c>
      <c r="R1278">
        <v>1</v>
      </c>
      <c r="S1278">
        <v>1</v>
      </c>
    </row>
    <row r="1279" spans="1:19" x14ac:dyDescent="0.25">
      <c r="A1279" s="1">
        <v>0.76584383101851849</v>
      </c>
      <c r="B1279" s="145" t="s">
        <v>165</v>
      </c>
      <c r="C1279">
        <v>1278</v>
      </c>
      <c r="D1279">
        <v>1</v>
      </c>
      <c r="E1279">
        <v>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1</v>
      </c>
      <c r="N1279">
        <v>1</v>
      </c>
      <c r="O1279">
        <v>1</v>
      </c>
      <c r="P1279">
        <v>1</v>
      </c>
      <c r="Q1279">
        <v>1</v>
      </c>
      <c r="R1279">
        <v>1</v>
      </c>
      <c r="S1279">
        <v>1</v>
      </c>
    </row>
    <row r="1280" spans="1:19" x14ac:dyDescent="0.25">
      <c r="A1280" s="1">
        <v>0.76584394675925926</v>
      </c>
      <c r="B1280" s="145" t="s">
        <v>165</v>
      </c>
      <c r="C1280">
        <v>1279</v>
      </c>
      <c r="D1280">
        <v>1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1</v>
      </c>
      <c r="M1280">
        <v>1</v>
      </c>
      <c r="N1280">
        <v>1</v>
      </c>
      <c r="O1280">
        <v>1</v>
      </c>
      <c r="P1280">
        <v>1</v>
      </c>
      <c r="Q1280">
        <v>1</v>
      </c>
      <c r="R1280">
        <v>1</v>
      </c>
      <c r="S1280">
        <v>1</v>
      </c>
    </row>
    <row r="1281" spans="1:19" x14ac:dyDescent="0.25">
      <c r="A1281" s="1">
        <v>0.76584406250000003</v>
      </c>
      <c r="B1281" s="145" t="s">
        <v>165</v>
      </c>
      <c r="C1281">
        <v>1280</v>
      </c>
      <c r="D1281">
        <v>1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</row>
    <row r="1282" spans="1:19" x14ac:dyDescent="0.25">
      <c r="A1282" s="1">
        <v>0.76584417824074069</v>
      </c>
      <c r="B1282" s="145" t="s">
        <v>165</v>
      </c>
      <c r="C1282">
        <v>1281</v>
      </c>
      <c r="D1282">
        <v>1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1</v>
      </c>
      <c r="M1282">
        <v>1</v>
      </c>
      <c r="N1282">
        <v>1</v>
      </c>
      <c r="O1282">
        <v>1</v>
      </c>
      <c r="P1282">
        <v>1</v>
      </c>
      <c r="Q1282">
        <v>1</v>
      </c>
      <c r="R1282">
        <v>1</v>
      </c>
      <c r="S1282">
        <v>1</v>
      </c>
    </row>
    <row r="1283" spans="1:19" x14ac:dyDescent="0.25">
      <c r="A1283" s="1">
        <v>0.76584429398148146</v>
      </c>
      <c r="B1283" s="145" t="s">
        <v>165</v>
      </c>
      <c r="C1283">
        <v>1282</v>
      </c>
      <c r="D1283">
        <v>1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1</v>
      </c>
      <c r="N1283">
        <v>1</v>
      </c>
      <c r="O1283">
        <v>1</v>
      </c>
      <c r="P1283">
        <v>1</v>
      </c>
      <c r="Q1283">
        <v>1</v>
      </c>
      <c r="R1283">
        <v>1</v>
      </c>
      <c r="S1283">
        <v>1</v>
      </c>
    </row>
    <row r="1284" spans="1:19" x14ac:dyDescent="0.25">
      <c r="A1284" s="1">
        <v>0.76584440972222223</v>
      </c>
      <c r="B1284" s="145" t="s">
        <v>165</v>
      </c>
      <c r="C1284">
        <v>1283</v>
      </c>
      <c r="D1284">
        <v>1</v>
      </c>
      <c r="E1284">
        <v>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1</v>
      </c>
      <c r="N1284">
        <v>1</v>
      </c>
      <c r="O1284">
        <v>1</v>
      </c>
      <c r="P1284">
        <v>1</v>
      </c>
      <c r="Q1284">
        <v>1</v>
      </c>
      <c r="R1284">
        <v>1</v>
      </c>
      <c r="S1284">
        <v>1</v>
      </c>
    </row>
    <row r="1285" spans="1:19" x14ac:dyDescent="0.25">
      <c r="A1285" s="1">
        <v>0.765844525462963</v>
      </c>
      <c r="B1285" s="145" t="s">
        <v>165</v>
      </c>
      <c r="C1285">
        <v>1284</v>
      </c>
      <c r="D1285">
        <v>1</v>
      </c>
      <c r="E1285">
        <v>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1</v>
      </c>
      <c r="M1285">
        <v>1</v>
      </c>
      <c r="N1285">
        <v>1</v>
      </c>
      <c r="O1285">
        <v>1</v>
      </c>
      <c r="P1285">
        <v>1</v>
      </c>
      <c r="Q1285">
        <v>1</v>
      </c>
      <c r="R1285">
        <v>1</v>
      </c>
      <c r="S1285">
        <v>1</v>
      </c>
    </row>
    <row r="1286" spans="1:19" x14ac:dyDescent="0.25">
      <c r="A1286" s="1">
        <v>0.76584464120370366</v>
      </c>
      <c r="B1286" s="145" t="s">
        <v>165</v>
      </c>
      <c r="C1286">
        <v>1285</v>
      </c>
      <c r="D1286">
        <v>1</v>
      </c>
      <c r="E1286">
        <v>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1</v>
      </c>
      <c r="N1286">
        <v>1</v>
      </c>
      <c r="O1286">
        <v>1</v>
      </c>
      <c r="P1286">
        <v>1</v>
      </c>
      <c r="Q1286">
        <v>1</v>
      </c>
      <c r="R1286">
        <v>1</v>
      </c>
      <c r="S1286">
        <v>1</v>
      </c>
    </row>
    <row r="1287" spans="1:19" x14ac:dyDescent="0.25">
      <c r="A1287" s="1">
        <v>0.76584474537037039</v>
      </c>
      <c r="B1287" s="145" t="s">
        <v>165</v>
      </c>
      <c r="C1287">
        <v>1286</v>
      </c>
      <c r="D1287">
        <v>1</v>
      </c>
      <c r="E1287">
        <v>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1</v>
      </c>
      <c r="M1287">
        <v>1</v>
      </c>
      <c r="N1287">
        <v>1</v>
      </c>
      <c r="O1287">
        <v>1</v>
      </c>
      <c r="P1287">
        <v>1</v>
      </c>
      <c r="Q1287">
        <v>1</v>
      </c>
      <c r="R1287">
        <v>1</v>
      </c>
      <c r="S1287">
        <v>1</v>
      </c>
    </row>
    <row r="1288" spans="1:19" x14ac:dyDescent="0.25">
      <c r="A1288" s="1">
        <v>0.76584486111111116</v>
      </c>
      <c r="B1288" s="145" t="s">
        <v>165</v>
      </c>
      <c r="C1288">
        <v>1287</v>
      </c>
      <c r="D1288">
        <v>1</v>
      </c>
      <c r="E1288">
        <v>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1</v>
      </c>
      <c r="N1288">
        <v>1</v>
      </c>
      <c r="O1288">
        <v>1</v>
      </c>
      <c r="P1288">
        <v>1</v>
      </c>
      <c r="Q1288">
        <v>1</v>
      </c>
      <c r="R1288">
        <v>1</v>
      </c>
      <c r="S1288">
        <v>1</v>
      </c>
    </row>
    <row r="1289" spans="1:19" x14ac:dyDescent="0.25">
      <c r="A1289" s="1">
        <v>0.76584497685185182</v>
      </c>
      <c r="B1289" s="145" t="s">
        <v>165</v>
      </c>
      <c r="C1289">
        <v>1288</v>
      </c>
      <c r="D1289">
        <v>1</v>
      </c>
      <c r="E1289">
        <v>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1</v>
      </c>
      <c r="O1289">
        <v>1</v>
      </c>
      <c r="P1289">
        <v>1</v>
      </c>
      <c r="Q1289">
        <v>1</v>
      </c>
      <c r="R1289">
        <v>1</v>
      </c>
      <c r="S1289">
        <v>1</v>
      </c>
    </row>
    <row r="1290" spans="1:19" x14ac:dyDescent="0.25">
      <c r="A1290" s="1">
        <v>0.76584509259259259</v>
      </c>
      <c r="B1290" s="145" t="s">
        <v>165</v>
      </c>
      <c r="C1290">
        <v>1289</v>
      </c>
      <c r="D1290">
        <v>1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1</v>
      </c>
      <c r="M1290">
        <v>1</v>
      </c>
      <c r="N1290">
        <v>1</v>
      </c>
      <c r="O1290">
        <v>1</v>
      </c>
      <c r="P1290">
        <v>1</v>
      </c>
      <c r="Q1290">
        <v>1</v>
      </c>
      <c r="R1290">
        <v>1</v>
      </c>
      <c r="S1290">
        <v>1</v>
      </c>
    </row>
    <row r="1291" spans="1:19" x14ac:dyDescent="0.25">
      <c r="A1291" s="1">
        <v>0.76584520833333336</v>
      </c>
      <c r="B1291" s="145" t="s">
        <v>165</v>
      </c>
      <c r="C1291">
        <v>1290</v>
      </c>
      <c r="D1291">
        <v>1</v>
      </c>
      <c r="E1291">
        <v>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1</v>
      </c>
      <c r="M1291">
        <v>1</v>
      </c>
      <c r="N1291">
        <v>1</v>
      </c>
      <c r="O1291">
        <v>1</v>
      </c>
      <c r="P1291">
        <v>1</v>
      </c>
      <c r="Q1291">
        <v>1</v>
      </c>
      <c r="R1291">
        <v>1</v>
      </c>
      <c r="S1291">
        <v>1</v>
      </c>
    </row>
    <row r="1292" spans="1:19" x14ac:dyDescent="0.25">
      <c r="A1292" s="1">
        <v>0.76584532407407402</v>
      </c>
      <c r="B1292" s="145" t="s">
        <v>2</v>
      </c>
      <c r="C1292">
        <v>1291</v>
      </c>
      <c r="D1292">
        <v>0</v>
      </c>
      <c r="E1292">
        <v>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1</v>
      </c>
      <c r="N1292">
        <v>1</v>
      </c>
      <c r="O1292">
        <v>1</v>
      </c>
      <c r="P1292">
        <v>1</v>
      </c>
      <c r="Q1292">
        <v>1</v>
      </c>
      <c r="R1292">
        <v>1</v>
      </c>
      <c r="S1292">
        <v>1</v>
      </c>
    </row>
    <row r="1293" spans="1:19" x14ac:dyDescent="0.25">
      <c r="A1293" s="1">
        <v>0.76584543981481479</v>
      </c>
      <c r="B1293" s="145" t="s">
        <v>165</v>
      </c>
      <c r="C1293">
        <v>1292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1</v>
      </c>
      <c r="M1293">
        <v>1</v>
      </c>
      <c r="N1293">
        <v>1</v>
      </c>
      <c r="O1293">
        <v>1</v>
      </c>
      <c r="P1293">
        <v>1</v>
      </c>
      <c r="Q1293">
        <v>1</v>
      </c>
      <c r="R1293">
        <v>1</v>
      </c>
      <c r="S1293">
        <v>1</v>
      </c>
    </row>
    <row r="1294" spans="1:19" x14ac:dyDescent="0.25">
      <c r="A1294" s="1">
        <v>0.76584555555555556</v>
      </c>
      <c r="B1294" s="145" t="s">
        <v>165</v>
      </c>
      <c r="C1294">
        <v>1293</v>
      </c>
      <c r="D1294">
        <v>1</v>
      </c>
      <c r="E1294">
        <v>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1</v>
      </c>
      <c r="N1294">
        <v>1</v>
      </c>
      <c r="O1294">
        <v>1</v>
      </c>
      <c r="P1294">
        <v>1</v>
      </c>
      <c r="Q1294">
        <v>1</v>
      </c>
      <c r="R1294">
        <v>1</v>
      </c>
      <c r="S1294">
        <v>1</v>
      </c>
    </row>
    <row r="1295" spans="1:19" x14ac:dyDescent="0.25">
      <c r="A1295" s="1">
        <v>0.76584568287037036</v>
      </c>
      <c r="B1295" s="145" t="s">
        <v>165</v>
      </c>
      <c r="C1295">
        <v>1294</v>
      </c>
      <c r="D1295">
        <v>1</v>
      </c>
      <c r="E1295">
        <v>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1</v>
      </c>
      <c r="M1295">
        <v>1</v>
      </c>
      <c r="N1295">
        <v>1</v>
      </c>
      <c r="O1295">
        <v>1</v>
      </c>
      <c r="P1295">
        <v>1</v>
      </c>
      <c r="Q1295">
        <v>1</v>
      </c>
      <c r="R1295">
        <v>1</v>
      </c>
      <c r="S1295">
        <v>1</v>
      </c>
    </row>
    <row r="1296" spans="1:19" x14ac:dyDescent="0.25">
      <c r="A1296" s="1">
        <v>0.76584578703703698</v>
      </c>
      <c r="B1296" s="145" t="s">
        <v>165</v>
      </c>
      <c r="C1296">
        <v>1295</v>
      </c>
      <c r="D1296">
        <v>1</v>
      </c>
      <c r="E1296">
        <v>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1</v>
      </c>
      <c r="N1296">
        <v>1</v>
      </c>
      <c r="O1296">
        <v>1</v>
      </c>
      <c r="P1296">
        <v>1</v>
      </c>
      <c r="Q1296">
        <v>1</v>
      </c>
      <c r="R1296">
        <v>1</v>
      </c>
      <c r="S1296">
        <v>1</v>
      </c>
    </row>
    <row r="1297" spans="1:19" x14ac:dyDescent="0.25">
      <c r="A1297" s="1">
        <v>0.76584590277777775</v>
      </c>
      <c r="B1297" s="145" t="s">
        <v>165</v>
      </c>
      <c r="C1297">
        <v>1296</v>
      </c>
      <c r="D1297">
        <v>1</v>
      </c>
      <c r="E1297">
        <v>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</row>
    <row r="1298" spans="1:19" x14ac:dyDescent="0.25">
      <c r="A1298" s="1">
        <v>0.76584601851851852</v>
      </c>
      <c r="B1298" s="145" t="s">
        <v>2</v>
      </c>
      <c r="C1298">
        <v>1297</v>
      </c>
      <c r="D1298">
        <v>0</v>
      </c>
      <c r="E1298">
        <v>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1</v>
      </c>
      <c r="N1298">
        <v>1</v>
      </c>
      <c r="O1298">
        <v>1</v>
      </c>
      <c r="P1298">
        <v>1</v>
      </c>
      <c r="Q1298">
        <v>1</v>
      </c>
      <c r="R1298">
        <v>1</v>
      </c>
      <c r="S1298">
        <v>1</v>
      </c>
    </row>
    <row r="1299" spans="1:19" x14ac:dyDescent="0.25">
      <c r="A1299" s="1">
        <v>0.76584613425925929</v>
      </c>
      <c r="B1299" s="145" t="s">
        <v>165</v>
      </c>
      <c r="C1299">
        <v>1298</v>
      </c>
      <c r="D1299">
        <v>1</v>
      </c>
      <c r="E1299">
        <v>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1</v>
      </c>
      <c r="N1299">
        <v>1</v>
      </c>
      <c r="O1299">
        <v>1</v>
      </c>
      <c r="P1299">
        <v>1</v>
      </c>
      <c r="Q1299">
        <v>1</v>
      </c>
      <c r="R1299">
        <v>1</v>
      </c>
      <c r="S1299">
        <v>1</v>
      </c>
    </row>
    <row r="1300" spans="1:19" x14ac:dyDescent="0.25">
      <c r="A1300" s="1">
        <v>0.76584624999999995</v>
      </c>
      <c r="B1300" s="145" t="s">
        <v>165</v>
      </c>
      <c r="C1300">
        <v>1299</v>
      </c>
      <c r="D1300">
        <v>1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1</v>
      </c>
      <c r="N1300">
        <v>1</v>
      </c>
      <c r="O1300">
        <v>1</v>
      </c>
      <c r="P1300">
        <v>1</v>
      </c>
      <c r="Q1300">
        <v>1</v>
      </c>
      <c r="R1300">
        <v>1</v>
      </c>
      <c r="S1300">
        <v>1</v>
      </c>
    </row>
    <row r="1301" spans="1:19" x14ac:dyDescent="0.25">
      <c r="A1301" s="1">
        <v>0.76584636574074072</v>
      </c>
      <c r="B1301" s="145" t="s">
        <v>165</v>
      </c>
      <c r="C1301">
        <v>1300</v>
      </c>
      <c r="D1301">
        <v>1</v>
      </c>
      <c r="E1301">
        <v>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</row>
    <row r="1302" spans="1:19" x14ac:dyDescent="0.25">
      <c r="A1302" s="1">
        <v>0.76584648148148149</v>
      </c>
      <c r="B1302" s="145" t="s">
        <v>165</v>
      </c>
      <c r="C1302">
        <v>1301</v>
      </c>
      <c r="D1302">
        <v>1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1</v>
      </c>
      <c r="M1302">
        <v>1</v>
      </c>
      <c r="N1302">
        <v>1</v>
      </c>
      <c r="O1302">
        <v>1</v>
      </c>
      <c r="P1302">
        <v>1</v>
      </c>
      <c r="Q1302">
        <v>1</v>
      </c>
      <c r="R1302">
        <v>1</v>
      </c>
      <c r="S1302">
        <v>1</v>
      </c>
    </row>
    <row r="1303" spans="1:19" x14ac:dyDescent="0.25">
      <c r="A1303" s="1">
        <v>0.76584659722222226</v>
      </c>
      <c r="B1303" s="145" t="s">
        <v>165</v>
      </c>
      <c r="C1303">
        <v>1302</v>
      </c>
      <c r="D1303">
        <v>1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1</v>
      </c>
      <c r="N1303">
        <v>1</v>
      </c>
      <c r="O1303">
        <v>1</v>
      </c>
      <c r="P1303">
        <v>1</v>
      </c>
      <c r="Q1303">
        <v>1</v>
      </c>
      <c r="R1303">
        <v>1</v>
      </c>
      <c r="S1303">
        <v>1</v>
      </c>
    </row>
    <row r="1304" spans="1:19" x14ac:dyDescent="0.25">
      <c r="A1304" s="1">
        <v>0.76584671296296292</v>
      </c>
      <c r="B1304" s="145" t="s">
        <v>2</v>
      </c>
      <c r="C1304">
        <v>1303</v>
      </c>
      <c r="D1304">
        <v>0</v>
      </c>
      <c r="E1304">
        <v>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1</v>
      </c>
      <c r="N1304">
        <v>1</v>
      </c>
      <c r="O1304">
        <v>1</v>
      </c>
      <c r="P1304">
        <v>1</v>
      </c>
      <c r="Q1304">
        <v>1</v>
      </c>
      <c r="R1304">
        <v>1</v>
      </c>
      <c r="S1304">
        <v>1</v>
      </c>
    </row>
    <row r="1305" spans="1:19" x14ac:dyDescent="0.25">
      <c r="A1305" s="1">
        <v>0.76584682870370369</v>
      </c>
      <c r="B1305" s="145" t="s">
        <v>165</v>
      </c>
      <c r="C1305">
        <v>1304</v>
      </c>
      <c r="D1305">
        <v>1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</v>
      </c>
      <c r="N1305">
        <v>1</v>
      </c>
      <c r="O1305">
        <v>1</v>
      </c>
      <c r="P1305">
        <v>1</v>
      </c>
      <c r="Q1305">
        <v>1</v>
      </c>
      <c r="R1305">
        <v>1</v>
      </c>
      <c r="S1305">
        <v>1</v>
      </c>
    </row>
    <row r="1306" spans="1:19" x14ac:dyDescent="0.25">
      <c r="A1306" s="1">
        <v>0.76584694444444446</v>
      </c>
      <c r="B1306" s="145" t="s">
        <v>165</v>
      </c>
      <c r="C1306">
        <v>1305</v>
      </c>
      <c r="D1306">
        <v>1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1</v>
      </c>
      <c r="N1306">
        <v>1</v>
      </c>
      <c r="O1306">
        <v>1</v>
      </c>
      <c r="P1306">
        <v>1</v>
      </c>
      <c r="Q1306">
        <v>1</v>
      </c>
      <c r="R1306">
        <v>1</v>
      </c>
      <c r="S1306">
        <v>1</v>
      </c>
    </row>
    <row r="1307" spans="1:19" x14ac:dyDescent="0.25">
      <c r="A1307" s="1">
        <v>0.76584706018518522</v>
      </c>
      <c r="B1307" s="145" t="s">
        <v>165</v>
      </c>
      <c r="C1307">
        <v>1306</v>
      </c>
      <c r="D1307">
        <v>1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1</v>
      </c>
      <c r="M1307">
        <v>1</v>
      </c>
      <c r="N1307">
        <v>1</v>
      </c>
      <c r="O1307">
        <v>1</v>
      </c>
      <c r="P1307">
        <v>1</v>
      </c>
      <c r="Q1307">
        <v>1</v>
      </c>
      <c r="R1307">
        <v>1</v>
      </c>
      <c r="S1307">
        <v>1</v>
      </c>
    </row>
    <row r="1308" spans="1:19" x14ac:dyDescent="0.25">
      <c r="A1308" s="1">
        <v>0.76584717592592588</v>
      </c>
      <c r="B1308" s="145" t="s">
        <v>165</v>
      </c>
      <c r="C1308">
        <v>1307</v>
      </c>
      <c r="D1308">
        <v>1</v>
      </c>
      <c r="E1308">
        <v>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</row>
    <row r="1309" spans="1:19" x14ac:dyDescent="0.25">
      <c r="A1309" s="1">
        <v>0.76584729166666665</v>
      </c>
      <c r="B1309" s="145" t="s">
        <v>165</v>
      </c>
      <c r="C1309">
        <v>1308</v>
      </c>
      <c r="D1309">
        <v>1</v>
      </c>
      <c r="E1309">
        <v>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1</v>
      </c>
      <c r="M1309">
        <v>1</v>
      </c>
      <c r="N1309">
        <v>1</v>
      </c>
      <c r="O1309">
        <v>1</v>
      </c>
      <c r="P1309">
        <v>1</v>
      </c>
      <c r="Q1309">
        <v>1</v>
      </c>
      <c r="R1309">
        <v>1</v>
      </c>
      <c r="S1309">
        <v>1</v>
      </c>
    </row>
    <row r="1310" spans="1:19" x14ac:dyDescent="0.25">
      <c r="A1310" s="1">
        <v>0.76584740740740742</v>
      </c>
      <c r="B1310" s="145" t="s">
        <v>2</v>
      </c>
      <c r="C1310">
        <v>1309</v>
      </c>
      <c r="D1310">
        <v>0</v>
      </c>
      <c r="E1310">
        <v>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1</v>
      </c>
      <c r="N1310">
        <v>1</v>
      </c>
      <c r="O1310">
        <v>1</v>
      </c>
      <c r="P1310">
        <v>1</v>
      </c>
      <c r="Q1310">
        <v>1</v>
      </c>
      <c r="R1310">
        <v>1</v>
      </c>
      <c r="S1310">
        <v>1</v>
      </c>
    </row>
    <row r="1311" spans="1:19" x14ac:dyDescent="0.25">
      <c r="A1311" s="1">
        <v>0.76584752314814819</v>
      </c>
      <c r="B1311" s="145" t="s">
        <v>165</v>
      </c>
      <c r="C1311">
        <v>1310</v>
      </c>
      <c r="D1311">
        <v>1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1</v>
      </c>
      <c r="N1311">
        <v>1</v>
      </c>
      <c r="O1311">
        <v>1</v>
      </c>
      <c r="P1311">
        <v>1</v>
      </c>
      <c r="Q1311">
        <v>1</v>
      </c>
      <c r="R1311">
        <v>1</v>
      </c>
      <c r="S1311">
        <v>1</v>
      </c>
    </row>
    <row r="1312" spans="1:19" x14ac:dyDescent="0.25">
      <c r="A1312" s="1">
        <v>0.76584763888888885</v>
      </c>
      <c r="B1312" s="145" t="s">
        <v>165</v>
      </c>
      <c r="C1312">
        <v>1311</v>
      </c>
      <c r="D1312">
        <v>1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1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</row>
    <row r="1313" spans="1:19" x14ac:dyDescent="0.25">
      <c r="A1313" s="1">
        <v>0.76584775462962962</v>
      </c>
      <c r="B1313" s="145" t="s">
        <v>165</v>
      </c>
      <c r="C1313">
        <v>1312</v>
      </c>
      <c r="D1313">
        <v>1</v>
      </c>
      <c r="E1313">
        <v>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1</v>
      </c>
      <c r="M1313">
        <v>1</v>
      </c>
      <c r="N1313">
        <v>1</v>
      </c>
      <c r="O1313">
        <v>1</v>
      </c>
      <c r="P1313">
        <v>1</v>
      </c>
      <c r="Q1313">
        <v>1</v>
      </c>
      <c r="R1313">
        <v>1</v>
      </c>
      <c r="S1313">
        <v>1</v>
      </c>
    </row>
    <row r="1314" spans="1:19" x14ac:dyDescent="0.25">
      <c r="A1314" s="1">
        <v>0.76584787037037039</v>
      </c>
      <c r="B1314" s="145" t="s">
        <v>165</v>
      </c>
      <c r="C1314">
        <v>1313</v>
      </c>
      <c r="D1314">
        <v>1</v>
      </c>
      <c r="E1314">
        <v>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</row>
    <row r="1315" spans="1:19" x14ac:dyDescent="0.25">
      <c r="A1315" s="1">
        <v>0.76584798611111116</v>
      </c>
      <c r="B1315" s="145" t="s">
        <v>165</v>
      </c>
      <c r="C1315">
        <v>1314</v>
      </c>
      <c r="D1315">
        <v>1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1</v>
      </c>
      <c r="M1315">
        <v>1</v>
      </c>
      <c r="N1315">
        <v>1</v>
      </c>
      <c r="O1315">
        <v>1</v>
      </c>
      <c r="P1315">
        <v>1</v>
      </c>
      <c r="Q1315">
        <v>1</v>
      </c>
      <c r="R1315">
        <v>1</v>
      </c>
      <c r="S1315">
        <v>1</v>
      </c>
    </row>
    <row r="1316" spans="1:19" x14ac:dyDescent="0.25">
      <c r="A1316" s="1">
        <v>0.76584810185185181</v>
      </c>
      <c r="B1316" s="145" t="s">
        <v>2</v>
      </c>
      <c r="C1316">
        <v>1315</v>
      </c>
      <c r="D1316">
        <v>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1</v>
      </c>
      <c r="O1316">
        <v>1</v>
      </c>
      <c r="P1316">
        <v>1</v>
      </c>
      <c r="Q1316">
        <v>1</v>
      </c>
      <c r="R1316">
        <v>1</v>
      </c>
      <c r="S1316">
        <v>1</v>
      </c>
    </row>
    <row r="1317" spans="1:19" x14ac:dyDescent="0.25">
      <c r="A1317" s="1">
        <v>0.76584821759259258</v>
      </c>
      <c r="B1317" s="145" t="s">
        <v>165</v>
      </c>
      <c r="C1317">
        <v>1316</v>
      </c>
      <c r="D1317">
        <v>1</v>
      </c>
      <c r="E1317">
        <v>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1</v>
      </c>
      <c r="N1317">
        <v>1</v>
      </c>
      <c r="O1317">
        <v>1</v>
      </c>
      <c r="P1317">
        <v>1</v>
      </c>
      <c r="Q1317">
        <v>1</v>
      </c>
      <c r="R1317">
        <v>1</v>
      </c>
      <c r="S1317">
        <v>1</v>
      </c>
    </row>
    <row r="1318" spans="1:19" x14ac:dyDescent="0.25">
      <c r="A1318" s="1">
        <v>0.76584833333333335</v>
      </c>
      <c r="B1318" s="145" t="s">
        <v>165</v>
      </c>
      <c r="C1318">
        <v>1317</v>
      </c>
      <c r="D1318">
        <v>1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1</v>
      </c>
      <c r="M1318">
        <v>1</v>
      </c>
      <c r="N1318">
        <v>1</v>
      </c>
      <c r="O1318">
        <v>1</v>
      </c>
      <c r="P1318">
        <v>1</v>
      </c>
      <c r="Q1318">
        <v>1</v>
      </c>
      <c r="R1318">
        <v>1</v>
      </c>
      <c r="S1318">
        <v>1</v>
      </c>
    </row>
    <row r="1319" spans="1:19" x14ac:dyDescent="0.25">
      <c r="A1319" s="1">
        <v>0.76584844907407412</v>
      </c>
      <c r="B1319" s="145" t="s">
        <v>165</v>
      </c>
      <c r="C1319">
        <v>1318</v>
      </c>
      <c r="D1319">
        <v>1</v>
      </c>
      <c r="E1319">
        <v>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1</v>
      </c>
      <c r="N1319">
        <v>1</v>
      </c>
      <c r="O1319">
        <v>1</v>
      </c>
      <c r="P1319">
        <v>1</v>
      </c>
      <c r="Q1319">
        <v>1</v>
      </c>
      <c r="R1319">
        <v>1</v>
      </c>
      <c r="S1319">
        <v>1</v>
      </c>
    </row>
    <row r="1320" spans="1:19" x14ac:dyDescent="0.25">
      <c r="A1320" s="1">
        <v>0.76584856481481478</v>
      </c>
      <c r="B1320" s="145" t="s">
        <v>165</v>
      </c>
      <c r="C1320">
        <v>1319</v>
      </c>
      <c r="D1320">
        <v>1</v>
      </c>
      <c r="E1320">
        <v>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</v>
      </c>
      <c r="N1320">
        <v>1</v>
      </c>
      <c r="O1320">
        <v>1</v>
      </c>
      <c r="P1320">
        <v>1</v>
      </c>
      <c r="Q1320">
        <v>1</v>
      </c>
      <c r="R1320">
        <v>1</v>
      </c>
      <c r="S1320">
        <v>1</v>
      </c>
    </row>
    <row r="1321" spans="1:19" x14ac:dyDescent="0.25">
      <c r="A1321" s="1">
        <v>0.76584868055555555</v>
      </c>
      <c r="B1321" s="145" t="s">
        <v>165</v>
      </c>
      <c r="C1321">
        <v>1320</v>
      </c>
      <c r="D1321">
        <v>1</v>
      </c>
      <c r="E1321">
        <v>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1</v>
      </c>
      <c r="N1321">
        <v>1</v>
      </c>
      <c r="O1321">
        <v>1</v>
      </c>
      <c r="P1321">
        <v>1</v>
      </c>
      <c r="Q1321">
        <v>1</v>
      </c>
      <c r="R1321">
        <v>1</v>
      </c>
      <c r="S1321">
        <v>1</v>
      </c>
    </row>
    <row r="1322" spans="1:19" x14ac:dyDescent="0.25">
      <c r="A1322" s="1">
        <v>0.76584879629629632</v>
      </c>
      <c r="B1322" s="145" t="s">
        <v>2</v>
      </c>
      <c r="C1322">
        <v>1321</v>
      </c>
      <c r="D1322">
        <v>0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  <c r="O1322">
        <v>1</v>
      </c>
      <c r="P1322">
        <v>1</v>
      </c>
      <c r="Q1322">
        <v>1</v>
      </c>
      <c r="R1322">
        <v>1</v>
      </c>
      <c r="S1322">
        <v>1</v>
      </c>
    </row>
    <row r="1323" spans="1:19" x14ac:dyDescent="0.25">
      <c r="A1323" s="1">
        <v>0.76584891203703709</v>
      </c>
      <c r="B1323" s="145" t="s">
        <v>165</v>
      </c>
      <c r="C1323">
        <v>1322</v>
      </c>
      <c r="D1323">
        <v>1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1</v>
      </c>
      <c r="M1323">
        <v>1</v>
      </c>
      <c r="N1323">
        <v>1</v>
      </c>
      <c r="O1323">
        <v>1</v>
      </c>
      <c r="P1323">
        <v>1</v>
      </c>
      <c r="Q1323">
        <v>1</v>
      </c>
      <c r="R1323">
        <v>1</v>
      </c>
      <c r="S1323">
        <v>1</v>
      </c>
    </row>
    <row r="1324" spans="1:19" x14ac:dyDescent="0.25">
      <c r="A1324" s="1">
        <v>0.76584902777777775</v>
      </c>
      <c r="B1324" s="145" t="s">
        <v>165</v>
      </c>
      <c r="C1324">
        <v>1323</v>
      </c>
      <c r="D1324">
        <v>1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1</v>
      </c>
      <c r="M1324">
        <v>1</v>
      </c>
      <c r="N1324">
        <v>1</v>
      </c>
      <c r="O1324">
        <v>1</v>
      </c>
      <c r="P1324">
        <v>1</v>
      </c>
      <c r="Q1324">
        <v>1</v>
      </c>
      <c r="R1324">
        <v>1</v>
      </c>
      <c r="S1324">
        <v>1</v>
      </c>
    </row>
    <row r="1325" spans="1:19" x14ac:dyDescent="0.25">
      <c r="A1325" s="1">
        <v>0.76584914351851852</v>
      </c>
      <c r="B1325" s="145" t="s">
        <v>165</v>
      </c>
      <c r="C1325">
        <v>1324</v>
      </c>
      <c r="D1325">
        <v>1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1</v>
      </c>
      <c r="N1325">
        <v>1</v>
      </c>
      <c r="O1325">
        <v>1</v>
      </c>
      <c r="P1325">
        <v>1</v>
      </c>
      <c r="Q1325">
        <v>1</v>
      </c>
      <c r="R1325">
        <v>1</v>
      </c>
      <c r="S1325">
        <v>1</v>
      </c>
    </row>
    <row r="1326" spans="1:19" x14ac:dyDescent="0.25">
      <c r="A1326" s="1">
        <v>0.76584925925925929</v>
      </c>
      <c r="B1326" s="145" t="s">
        <v>165</v>
      </c>
      <c r="C1326">
        <v>1325</v>
      </c>
      <c r="D1326">
        <v>1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1</v>
      </c>
      <c r="M1326">
        <v>1</v>
      </c>
      <c r="N1326">
        <v>1</v>
      </c>
      <c r="O1326">
        <v>1</v>
      </c>
      <c r="P1326">
        <v>1</v>
      </c>
      <c r="Q1326">
        <v>1</v>
      </c>
      <c r="R1326">
        <v>1</v>
      </c>
      <c r="S1326">
        <v>1</v>
      </c>
    </row>
    <row r="1327" spans="1:19" x14ac:dyDescent="0.25">
      <c r="A1327" s="1">
        <v>0.76584937500000005</v>
      </c>
      <c r="B1327" s="145" t="s">
        <v>165</v>
      </c>
      <c r="C1327">
        <v>1326</v>
      </c>
      <c r="D1327">
        <v>1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1</v>
      </c>
      <c r="N1327">
        <v>1</v>
      </c>
      <c r="O1327">
        <v>1</v>
      </c>
      <c r="P1327">
        <v>1</v>
      </c>
      <c r="Q1327">
        <v>1</v>
      </c>
      <c r="R1327">
        <v>1</v>
      </c>
      <c r="S1327">
        <v>1</v>
      </c>
    </row>
    <row r="1328" spans="1:19" x14ac:dyDescent="0.25">
      <c r="A1328" s="1">
        <v>0.76584949074074071</v>
      </c>
      <c r="B1328" s="145" t="s">
        <v>2</v>
      </c>
      <c r="C1328">
        <v>1327</v>
      </c>
      <c r="D1328">
        <v>0</v>
      </c>
      <c r="E1328">
        <v>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1</v>
      </c>
      <c r="O1328">
        <v>1</v>
      </c>
      <c r="P1328">
        <v>1</v>
      </c>
      <c r="Q1328">
        <v>1</v>
      </c>
      <c r="R1328">
        <v>1</v>
      </c>
      <c r="S1328">
        <v>1</v>
      </c>
    </row>
    <row r="1329" spans="1:19" x14ac:dyDescent="0.25">
      <c r="A1329" s="1">
        <v>0.76584960648148148</v>
      </c>
      <c r="B1329" s="145" t="s">
        <v>165</v>
      </c>
      <c r="C1329">
        <v>1328</v>
      </c>
      <c r="D1329">
        <v>1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1</v>
      </c>
      <c r="M1329">
        <v>1</v>
      </c>
      <c r="N1329">
        <v>1</v>
      </c>
      <c r="O1329">
        <v>1</v>
      </c>
      <c r="P1329">
        <v>1</v>
      </c>
      <c r="Q1329">
        <v>1</v>
      </c>
      <c r="R1329">
        <v>1</v>
      </c>
      <c r="S1329">
        <v>1</v>
      </c>
    </row>
    <row r="1330" spans="1:19" x14ac:dyDescent="0.25">
      <c r="A1330" s="1">
        <v>0.76584972222222225</v>
      </c>
      <c r="B1330" s="145" t="s">
        <v>165</v>
      </c>
      <c r="C1330">
        <v>1329</v>
      </c>
      <c r="D1330">
        <v>1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1</v>
      </c>
      <c r="P1330">
        <v>1</v>
      </c>
      <c r="Q1330">
        <v>1</v>
      </c>
      <c r="R1330">
        <v>1</v>
      </c>
      <c r="S1330">
        <v>1</v>
      </c>
    </row>
    <row r="1331" spans="1:19" x14ac:dyDescent="0.25">
      <c r="A1331" s="1">
        <v>0.76584983796296291</v>
      </c>
      <c r="B1331" s="145" t="s">
        <v>165</v>
      </c>
      <c r="C1331">
        <v>1330</v>
      </c>
      <c r="D1331">
        <v>1</v>
      </c>
      <c r="E1331">
        <v>1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1</v>
      </c>
      <c r="M1331">
        <v>1</v>
      </c>
      <c r="N1331">
        <v>1</v>
      </c>
      <c r="O1331">
        <v>1</v>
      </c>
      <c r="P1331">
        <v>1</v>
      </c>
      <c r="Q1331">
        <v>1</v>
      </c>
      <c r="R1331">
        <v>1</v>
      </c>
      <c r="S1331">
        <v>1</v>
      </c>
    </row>
    <row r="1332" spans="1:19" x14ac:dyDescent="0.25">
      <c r="A1332" s="1">
        <v>0.76584995370370368</v>
      </c>
      <c r="B1332" s="145" t="s">
        <v>165</v>
      </c>
      <c r="C1332">
        <v>1331</v>
      </c>
      <c r="D1332">
        <v>1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1</v>
      </c>
      <c r="N1332">
        <v>1</v>
      </c>
      <c r="O1332">
        <v>1</v>
      </c>
      <c r="P1332">
        <v>1</v>
      </c>
      <c r="Q1332">
        <v>1</v>
      </c>
      <c r="R1332">
        <v>1</v>
      </c>
      <c r="S1332">
        <v>1</v>
      </c>
    </row>
    <row r="1333" spans="1:19" x14ac:dyDescent="0.25">
      <c r="A1333" s="1">
        <v>0.76585006944444445</v>
      </c>
      <c r="B1333" s="145" t="s">
        <v>165</v>
      </c>
      <c r="C1333">
        <v>1332</v>
      </c>
      <c r="D1333">
        <v>1</v>
      </c>
      <c r="E1333">
        <v>1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1</v>
      </c>
      <c r="N1333">
        <v>1</v>
      </c>
      <c r="O1333">
        <v>1</v>
      </c>
      <c r="P1333">
        <v>1</v>
      </c>
      <c r="Q1333">
        <v>1</v>
      </c>
      <c r="R1333">
        <v>1</v>
      </c>
      <c r="S1333">
        <v>1</v>
      </c>
    </row>
    <row r="1334" spans="1:19" x14ac:dyDescent="0.25">
      <c r="A1334" s="1">
        <v>0.76585018518518522</v>
      </c>
      <c r="B1334" s="145" t="s">
        <v>2</v>
      </c>
      <c r="C1334">
        <v>1333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</v>
      </c>
      <c r="N1334">
        <v>1</v>
      </c>
      <c r="O1334">
        <v>1</v>
      </c>
      <c r="P1334">
        <v>1</v>
      </c>
      <c r="Q1334">
        <v>1</v>
      </c>
      <c r="R1334">
        <v>1</v>
      </c>
      <c r="S1334">
        <v>1</v>
      </c>
    </row>
    <row r="1335" spans="1:19" x14ac:dyDescent="0.25">
      <c r="A1335" s="1">
        <v>0.76585030092592588</v>
      </c>
      <c r="B1335" s="145" t="s">
        <v>165</v>
      </c>
      <c r="C1335">
        <v>1334</v>
      </c>
      <c r="D1335">
        <v>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</v>
      </c>
      <c r="N1335">
        <v>1</v>
      </c>
      <c r="O1335">
        <v>1</v>
      </c>
      <c r="P1335">
        <v>1</v>
      </c>
      <c r="Q1335">
        <v>1</v>
      </c>
      <c r="R1335">
        <v>1</v>
      </c>
      <c r="S1335">
        <v>1</v>
      </c>
    </row>
    <row r="1336" spans="1:19" x14ac:dyDescent="0.25">
      <c r="A1336" s="1">
        <v>0.76585041666666664</v>
      </c>
      <c r="B1336" s="145" t="s">
        <v>165</v>
      </c>
      <c r="C1336">
        <v>1335</v>
      </c>
      <c r="D1336">
        <v>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1</v>
      </c>
      <c r="N1336">
        <v>1</v>
      </c>
      <c r="O1336">
        <v>1</v>
      </c>
      <c r="P1336">
        <v>1</v>
      </c>
      <c r="Q1336">
        <v>1</v>
      </c>
      <c r="R1336">
        <v>1</v>
      </c>
      <c r="S1336">
        <v>1</v>
      </c>
    </row>
    <row r="1337" spans="1:19" x14ac:dyDescent="0.25">
      <c r="A1337" s="1">
        <v>0.76585053240740741</v>
      </c>
      <c r="B1337" s="145" t="s">
        <v>165</v>
      </c>
      <c r="C1337">
        <v>1336</v>
      </c>
      <c r="D1337">
        <v>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</row>
    <row r="1338" spans="1:19" x14ac:dyDescent="0.25">
      <c r="A1338" s="1">
        <v>0.76585064814814818</v>
      </c>
      <c r="B1338" s="145" t="s">
        <v>165</v>
      </c>
      <c r="C1338">
        <v>1337</v>
      </c>
      <c r="D1338">
        <v>1</v>
      </c>
      <c r="E1338">
        <v>1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1</v>
      </c>
      <c r="N1338">
        <v>1</v>
      </c>
      <c r="O1338">
        <v>1</v>
      </c>
      <c r="P1338">
        <v>1</v>
      </c>
      <c r="Q1338">
        <v>1</v>
      </c>
      <c r="R1338">
        <v>1</v>
      </c>
      <c r="S1338">
        <v>1</v>
      </c>
    </row>
    <row r="1339" spans="1:19" x14ac:dyDescent="0.25">
      <c r="A1339" s="1">
        <v>0.76585076388888884</v>
      </c>
      <c r="B1339" s="145" t="s">
        <v>165</v>
      </c>
      <c r="C1339">
        <v>1338</v>
      </c>
      <c r="D1339">
        <v>1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1</v>
      </c>
      <c r="N1339">
        <v>1</v>
      </c>
      <c r="O1339">
        <v>1</v>
      </c>
      <c r="P1339">
        <v>1</v>
      </c>
      <c r="Q1339">
        <v>1</v>
      </c>
      <c r="R1339">
        <v>1</v>
      </c>
      <c r="S1339">
        <v>1</v>
      </c>
    </row>
    <row r="1340" spans="1:19" x14ac:dyDescent="0.25">
      <c r="A1340" s="1">
        <v>0.76585087962962961</v>
      </c>
      <c r="B1340" s="145" t="s">
        <v>2</v>
      </c>
      <c r="C1340">
        <v>1339</v>
      </c>
      <c r="D1340">
        <v>0</v>
      </c>
      <c r="E1340">
        <v>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1</v>
      </c>
      <c r="N1340">
        <v>1</v>
      </c>
      <c r="O1340">
        <v>1</v>
      </c>
      <c r="P1340">
        <v>1</v>
      </c>
      <c r="Q1340">
        <v>1</v>
      </c>
      <c r="R1340">
        <v>1</v>
      </c>
      <c r="S1340">
        <v>1</v>
      </c>
    </row>
    <row r="1341" spans="1:19" x14ac:dyDescent="0.25">
      <c r="A1341" s="1">
        <v>0.76585099537037038</v>
      </c>
      <c r="B1341" s="145" t="s">
        <v>165</v>
      </c>
      <c r="C1341">
        <v>1340</v>
      </c>
      <c r="D1341">
        <v>1</v>
      </c>
      <c r="E1341">
        <v>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</v>
      </c>
      <c r="N1341">
        <v>1</v>
      </c>
      <c r="O1341">
        <v>1</v>
      </c>
      <c r="P1341">
        <v>1</v>
      </c>
      <c r="Q1341">
        <v>1</v>
      </c>
      <c r="R1341">
        <v>1</v>
      </c>
      <c r="S1341">
        <v>1</v>
      </c>
    </row>
    <row r="1342" spans="1:19" x14ac:dyDescent="0.25">
      <c r="A1342" s="1">
        <v>0.76585111111111115</v>
      </c>
      <c r="B1342" s="145" t="s">
        <v>165</v>
      </c>
      <c r="C1342">
        <v>1341</v>
      </c>
      <c r="D1342">
        <v>1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1</v>
      </c>
      <c r="N1342">
        <v>1</v>
      </c>
      <c r="O1342">
        <v>1</v>
      </c>
      <c r="P1342">
        <v>1</v>
      </c>
      <c r="Q1342">
        <v>1</v>
      </c>
      <c r="R1342">
        <v>1</v>
      </c>
      <c r="S1342">
        <v>1</v>
      </c>
    </row>
    <row r="1343" spans="1:19" x14ac:dyDescent="0.25">
      <c r="A1343" s="1">
        <v>0.76585122685185181</v>
      </c>
      <c r="B1343" s="145" t="s">
        <v>165</v>
      </c>
      <c r="C1343">
        <v>1342</v>
      </c>
      <c r="D1343">
        <v>1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1</v>
      </c>
      <c r="N1343">
        <v>1</v>
      </c>
      <c r="O1343">
        <v>1</v>
      </c>
      <c r="P1343">
        <v>1</v>
      </c>
      <c r="Q1343">
        <v>1</v>
      </c>
      <c r="R1343">
        <v>1</v>
      </c>
      <c r="S1343">
        <v>1</v>
      </c>
    </row>
    <row r="1344" spans="1:19" x14ac:dyDescent="0.25">
      <c r="A1344" s="1">
        <v>0.76585134259259258</v>
      </c>
      <c r="B1344" s="145" t="s">
        <v>165</v>
      </c>
      <c r="C1344">
        <v>1343</v>
      </c>
      <c r="D1344">
        <v>1</v>
      </c>
      <c r="E1344">
        <v>1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</row>
    <row r="1345" spans="1:19" x14ac:dyDescent="0.25">
      <c r="A1345" s="1">
        <v>0.76585145833333335</v>
      </c>
      <c r="B1345" s="145" t="s">
        <v>165</v>
      </c>
      <c r="C1345">
        <v>1344</v>
      </c>
      <c r="D1345">
        <v>1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1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</row>
    <row r="1346" spans="1:19" x14ac:dyDescent="0.25">
      <c r="A1346" s="1">
        <v>0.76585156249999997</v>
      </c>
      <c r="B1346" s="145" t="s">
        <v>2</v>
      </c>
      <c r="C1346">
        <v>1345</v>
      </c>
      <c r="D1346">
        <v>0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1</v>
      </c>
      <c r="M1346">
        <v>1</v>
      </c>
      <c r="N1346">
        <v>1</v>
      </c>
      <c r="O1346">
        <v>1</v>
      </c>
      <c r="P1346">
        <v>1</v>
      </c>
      <c r="Q1346">
        <v>1</v>
      </c>
      <c r="R1346">
        <v>1</v>
      </c>
      <c r="S1346">
        <v>1</v>
      </c>
    </row>
    <row r="1347" spans="1:19" x14ac:dyDescent="0.25">
      <c r="A1347" s="1">
        <v>0.76585167824074074</v>
      </c>
      <c r="B1347" s="145" t="s">
        <v>165</v>
      </c>
      <c r="C1347">
        <v>1346</v>
      </c>
      <c r="D1347">
        <v>1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1</v>
      </c>
      <c r="M1347">
        <v>1</v>
      </c>
      <c r="N1347">
        <v>1</v>
      </c>
      <c r="O1347">
        <v>1</v>
      </c>
      <c r="P1347">
        <v>1</v>
      </c>
      <c r="Q1347">
        <v>1</v>
      </c>
      <c r="R1347">
        <v>1</v>
      </c>
      <c r="S1347">
        <v>1</v>
      </c>
    </row>
    <row r="1348" spans="1:19" x14ac:dyDescent="0.25">
      <c r="A1348" s="1">
        <v>0.76585179398148151</v>
      </c>
      <c r="B1348" s="145" t="s">
        <v>165</v>
      </c>
      <c r="C1348">
        <v>1347</v>
      </c>
      <c r="D1348">
        <v>1</v>
      </c>
      <c r="E1348">
        <v>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1</v>
      </c>
      <c r="N1348">
        <v>1</v>
      </c>
      <c r="O1348">
        <v>1</v>
      </c>
      <c r="P1348">
        <v>1</v>
      </c>
      <c r="Q1348">
        <v>1</v>
      </c>
      <c r="R1348">
        <v>1</v>
      </c>
      <c r="S1348">
        <v>1</v>
      </c>
    </row>
    <row r="1349" spans="1:19" x14ac:dyDescent="0.25">
      <c r="A1349" s="1">
        <v>0.76585190972222217</v>
      </c>
      <c r="B1349" s="145" t="s">
        <v>165</v>
      </c>
      <c r="C1349">
        <v>1348</v>
      </c>
      <c r="D1349">
        <v>1</v>
      </c>
      <c r="E1349">
        <v>1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1</v>
      </c>
      <c r="M1349">
        <v>1</v>
      </c>
      <c r="N1349">
        <v>1</v>
      </c>
      <c r="O1349">
        <v>1</v>
      </c>
      <c r="P1349">
        <v>1</v>
      </c>
      <c r="Q1349">
        <v>1</v>
      </c>
      <c r="R1349">
        <v>1</v>
      </c>
      <c r="S1349">
        <v>1</v>
      </c>
    </row>
    <row r="1350" spans="1:19" x14ac:dyDescent="0.25">
      <c r="A1350" s="1">
        <v>0.76585202546296294</v>
      </c>
      <c r="B1350" s="145" t="s">
        <v>165</v>
      </c>
      <c r="C1350">
        <v>1349</v>
      </c>
      <c r="D1350">
        <v>1</v>
      </c>
      <c r="E1350">
        <v>1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</v>
      </c>
      <c r="N1350">
        <v>1</v>
      </c>
      <c r="O1350">
        <v>1</v>
      </c>
      <c r="P1350">
        <v>1</v>
      </c>
      <c r="Q1350">
        <v>1</v>
      </c>
      <c r="R1350">
        <v>1</v>
      </c>
      <c r="S1350">
        <v>1</v>
      </c>
    </row>
    <row r="1351" spans="1:19" x14ac:dyDescent="0.25">
      <c r="A1351" s="1">
        <v>0.76585214120370371</v>
      </c>
      <c r="B1351" s="145" t="s">
        <v>165</v>
      </c>
      <c r="C1351">
        <v>1350</v>
      </c>
      <c r="D1351">
        <v>1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1</v>
      </c>
      <c r="M1351">
        <v>1</v>
      </c>
      <c r="N1351">
        <v>1</v>
      </c>
      <c r="O1351">
        <v>1</v>
      </c>
      <c r="P1351">
        <v>1</v>
      </c>
      <c r="Q1351">
        <v>1</v>
      </c>
      <c r="R1351">
        <v>1</v>
      </c>
      <c r="S1351">
        <v>1</v>
      </c>
    </row>
    <row r="1352" spans="1:19" x14ac:dyDescent="0.25">
      <c r="A1352" s="1">
        <v>0.76585225694444448</v>
      </c>
      <c r="B1352" s="145" t="s">
        <v>2</v>
      </c>
      <c r="C1352">
        <v>1351</v>
      </c>
      <c r="D1352">
        <v>0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1</v>
      </c>
      <c r="M1352">
        <v>1</v>
      </c>
      <c r="N1352">
        <v>1</v>
      </c>
      <c r="O1352">
        <v>1</v>
      </c>
      <c r="P1352">
        <v>1</v>
      </c>
      <c r="Q1352">
        <v>1</v>
      </c>
      <c r="R1352">
        <v>1</v>
      </c>
      <c r="S1352">
        <v>1</v>
      </c>
    </row>
    <row r="1353" spans="1:19" x14ac:dyDescent="0.25">
      <c r="A1353" s="1">
        <v>0.76585237268518513</v>
      </c>
      <c r="B1353" s="145" t="s">
        <v>165</v>
      </c>
      <c r="C1353">
        <v>1352</v>
      </c>
      <c r="D1353">
        <v>1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1</v>
      </c>
      <c r="N1353">
        <v>1</v>
      </c>
      <c r="O1353">
        <v>1</v>
      </c>
      <c r="P1353">
        <v>1</v>
      </c>
      <c r="Q1353">
        <v>1</v>
      </c>
      <c r="R1353">
        <v>1</v>
      </c>
      <c r="S1353">
        <v>1</v>
      </c>
    </row>
    <row r="1354" spans="1:19" x14ac:dyDescent="0.25">
      <c r="A1354" s="1">
        <v>0.7658524884259259</v>
      </c>
      <c r="B1354" s="145" t="s">
        <v>165</v>
      </c>
      <c r="C1354">
        <v>1353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1</v>
      </c>
      <c r="M1354">
        <v>1</v>
      </c>
      <c r="N1354">
        <v>1</v>
      </c>
      <c r="O1354">
        <v>1</v>
      </c>
      <c r="P1354">
        <v>1</v>
      </c>
      <c r="Q1354">
        <v>1</v>
      </c>
      <c r="R1354">
        <v>1</v>
      </c>
      <c r="S1354">
        <v>1</v>
      </c>
    </row>
    <row r="1355" spans="1:19" x14ac:dyDescent="0.25">
      <c r="A1355" s="1">
        <v>0.76585260416666667</v>
      </c>
      <c r="B1355" s="145" t="s">
        <v>165</v>
      </c>
      <c r="C1355">
        <v>1354</v>
      </c>
      <c r="D1355">
        <v>1</v>
      </c>
      <c r="E1355">
        <v>1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</v>
      </c>
      <c r="M1355">
        <v>1</v>
      </c>
      <c r="N1355">
        <v>1</v>
      </c>
      <c r="O1355">
        <v>1</v>
      </c>
      <c r="P1355">
        <v>1</v>
      </c>
      <c r="Q1355">
        <v>1</v>
      </c>
      <c r="R1355">
        <v>1</v>
      </c>
      <c r="S1355">
        <v>1</v>
      </c>
    </row>
    <row r="1356" spans="1:19" x14ac:dyDescent="0.25">
      <c r="A1356" s="1">
        <v>0.76585271990740744</v>
      </c>
      <c r="B1356" s="145" t="s">
        <v>165</v>
      </c>
      <c r="C1356">
        <v>1355</v>
      </c>
      <c r="D1356">
        <v>1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1</v>
      </c>
      <c r="N1356">
        <v>1</v>
      </c>
      <c r="O1356">
        <v>1</v>
      </c>
      <c r="P1356">
        <v>1</v>
      </c>
      <c r="Q1356">
        <v>1</v>
      </c>
      <c r="R1356">
        <v>1</v>
      </c>
      <c r="S1356">
        <v>1</v>
      </c>
    </row>
    <row r="1357" spans="1:19" x14ac:dyDescent="0.25">
      <c r="A1357" s="1">
        <v>0.7658528356481481</v>
      </c>
      <c r="B1357" s="145" t="s">
        <v>165</v>
      </c>
      <c r="C1357">
        <v>1356</v>
      </c>
      <c r="D1357">
        <v>1</v>
      </c>
      <c r="E1357">
        <v>1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1</v>
      </c>
      <c r="N1357">
        <v>1</v>
      </c>
      <c r="O1357">
        <v>1</v>
      </c>
      <c r="P1357">
        <v>1</v>
      </c>
      <c r="Q1357">
        <v>1</v>
      </c>
      <c r="R1357">
        <v>1</v>
      </c>
      <c r="S1357">
        <v>1</v>
      </c>
    </row>
    <row r="1358" spans="1:19" x14ac:dyDescent="0.25">
      <c r="A1358" s="1">
        <v>0.76585295138888887</v>
      </c>
      <c r="B1358" s="145" t="s">
        <v>2</v>
      </c>
      <c r="C1358">
        <v>1357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1</v>
      </c>
      <c r="P1358">
        <v>1</v>
      </c>
      <c r="Q1358">
        <v>1</v>
      </c>
      <c r="R1358">
        <v>1</v>
      </c>
      <c r="S1358">
        <v>1</v>
      </c>
    </row>
    <row r="1359" spans="1:19" x14ac:dyDescent="0.25">
      <c r="A1359" s="1">
        <v>0.76585318287037041</v>
      </c>
      <c r="B1359" s="145" t="s">
        <v>165</v>
      </c>
      <c r="C1359">
        <v>1358</v>
      </c>
      <c r="D1359">
        <v>1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1</v>
      </c>
      <c r="M1359">
        <v>1</v>
      </c>
      <c r="N1359">
        <v>1</v>
      </c>
      <c r="O1359">
        <v>1</v>
      </c>
      <c r="P1359">
        <v>1</v>
      </c>
      <c r="Q1359">
        <v>1</v>
      </c>
      <c r="R1359">
        <v>1</v>
      </c>
      <c r="S1359">
        <v>1</v>
      </c>
    </row>
    <row r="1360" spans="1:19" x14ac:dyDescent="0.25">
      <c r="A1360" s="1">
        <v>0.76585329861111107</v>
      </c>
      <c r="B1360" s="145" t="s">
        <v>165</v>
      </c>
      <c r="C1360">
        <v>1359</v>
      </c>
      <c r="D1360">
        <v>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1</v>
      </c>
      <c r="N1360">
        <v>1</v>
      </c>
      <c r="O1360">
        <v>1</v>
      </c>
      <c r="P1360">
        <v>1</v>
      </c>
      <c r="Q1360">
        <v>1</v>
      </c>
      <c r="R1360">
        <v>1</v>
      </c>
      <c r="S1360">
        <v>1</v>
      </c>
    </row>
    <row r="1361" spans="1:19" x14ac:dyDescent="0.25">
      <c r="A1361" s="1">
        <v>0.76585341435185184</v>
      </c>
      <c r="B1361" s="145" t="s">
        <v>165</v>
      </c>
      <c r="C1361">
        <v>1360</v>
      </c>
      <c r="D1361">
        <v>1</v>
      </c>
      <c r="E1361">
        <v>1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1</v>
      </c>
      <c r="M1361">
        <v>1</v>
      </c>
      <c r="N1361">
        <v>1</v>
      </c>
      <c r="O1361">
        <v>1</v>
      </c>
      <c r="P1361">
        <v>1</v>
      </c>
      <c r="Q1361">
        <v>1</v>
      </c>
      <c r="R1361">
        <v>1</v>
      </c>
      <c r="S1361">
        <v>1</v>
      </c>
    </row>
    <row r="1362" spans="1:19" x14ac:dyDescent="0.25">
      <c r="A1362" s="1">
        <v>0.7658535300925926</v>
      </c>
      <c r="B1362" s="145" t="s">
        <v>165</v>
      </c>
      <c r="C1362">
        <v>1361</v>
      </c>
      <c r="D1362">
        <v>1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1</v>
      </c>
      <c r="N1362">
        <v>1</v>
      </c>
      <c r="O1362">
        <v>1</v>
      </c>
      <c r="P1362">
        <v>1</v>
      </c>
      <c r="Q1362">
        <v>1</v>
      </c>
      <c r="R1362">
        <v>1</v>
      </c>
      <c r="S1362">
        <v>1</v>
      </c>
    </row>
    <row r="1363" spans="1:19" x14ac:dyDescent="0.25">
      <c r="A1363" s="1">
        <v>0.76585364583333337</v>
      </c>
      <c r="B1363" s="145" t="s">
        <v>2</v>
      </c>
      <c r="C1363">
        <v>1362</v>
      </c>
      <c r="D1363">
        <v>0</v>
      </c>
      <c r="E1363">
        <v>1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1</v>
      </c>
      <c r="O1363">
        <v>1</v>
      </c>
      <c r="P1363">
        <v>1</v>
      </c>
      <c r="Q1363">
        <v>1</v>
      </c>
      <c r="R1363">
        <v>1</v>
      </c>
      <c r="S1363">
        <v>1</v>
      </c>
    </row>
    <row r="1364" spans="1:19" x14ac:dyDescent="0.25">
      <c r="A1364" s="1">
        <v>0.76585376157407403</v>
      </c>
      <c r="B1364" s="145" t="s">
        <v>165</v>
      </c>
      <c r="C1364">
        <v>1363</v>
      </c>
      <c r="D1364">
        <v>1</v>
      </c>
      <c r="E1364">
        <v>1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1</v>
      </c>
      <c r="N1364">
        <v>1</v>
      </c>
      <c r="O1364">
        <v>1</v>
      </c>
      <c r="P1364">
        <v>1</v>
      </c>
      <c r="Q1364">
        <v>1</v>
      </c>
      <c r="R1364">
        <v>1</v>
      </c>
      <c r="S1364">
        <v>1</v>
      </c>
    </row>
    <row r="1365" spans="1:19" x14ac:dyDescent="0.25">
      <c r="A1365" s="1">
        <v>0.7658538773148148</v>
      </c>
      <c r="B1365" s="145" t="s">
        <v>165</v>
      </c>
      <c r="C1365">
        <v>1364</v>
      </c>
      <c r="D1365">
        <v>1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1</v>
      </c>
      <c r="N1365">
        <v>1</v>
      </c>
      <c r="O1365">
        <v>1</v>
      </c>
      <c r="P1365">
        <v>1</v>
      </c>
      <c r="Q1365">
        <v>1</v>
      </c>
      <c r="R1365">
        <v>1</v>
      </c>
      <c r="S1365">
        <v>1</v>
      </c>
    </row>
    <row r="1366" spans="1:19" x14ac:dyDescent="0.25">
      <c r="A1366" s="1">
        <v>0.76585399305555557</v>
      </c>
      <c r="B1366" s="145" t="s">
        <v>165</v>
      </c>
      <c r="C1366">
        <v>1365</v>
      </c>
      <c r="D1366">
        <v>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1</v>
      </c>
      <c r="O1366">
        <v>1</v>
      </c>
      <c r="P1366">
        <v>1</v>
      </c>
      <c r="Q1366">
        <v>1</v>
      </c>
      <c r="R1366">
        <v>1</v>
      </c>
      <c r="S1366">
        <v>1</v>
      </c>
    </row>
    <row r="1367" spans="1:19" x14ac:dyDescent="0.25">
      <c r="A1367" s="1">
        <v>0.76585410879629634</v>
      </c>
      <c r="B1367" s="145" t="s">
        <v>165</v>
      </c>
      <c r="C1367">
        <v>1366</v>
      </c>
      <c r="D1367">
        <v>1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</v>
      </c>
      <c r="N1367">
        <v>1</v>
      </c>
      <c r="O1367">
        <v>1</v>
      </c>
      <c r="P1367">
        <v>1</v>
      </c>
      <c r="Q1367">
        <v>1</v>
      </c>
      <c r="R1367">
        <v>1</v>
      </c>
      <c r="S1367">
        <v>1</v>
      </c>
    </row>
    <row r="1368" spans="1:19" x14ac:dyDescent="0.25">
      <c r="A1368" s="1">
        <v>0.765854224537037</v>
      </c>
      <c r="B1368" s="145" t="s">
        <v>165</v>
      </c>
      <c r="C1368">
        <v>1367</v>
      </c>
      <c r="D1368">
        <v>1</v>
      </c>
      <c r="E1368">
        <v>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1</v>
      </c>
      <c r="N1368">
        <v>1</v>
      </c>
      <c r="O1368">
        <v>1</v>
      </c>
      <c r="P1368">
        <v>1</v>
      </c>
      <c r="Q1368">
        <v>1</v>
      </c>
      <c r="R1368">
        <v>1</v>
      </c>
      <c r="S1368">
        <v>1</v>
      </c>
    </row>
    <row r="1369" spans="1:19" x14ac:dyDescent="0.25">
      <c r="A1369" s="1">
        <v>0.76585434027777777</v>
      </c>
      <c r="B1369" s="145" t="s">
        <v>2</v>
      </c>
      <c r="C1369">
        <v>1368</v>
      </c>
      <c r="D1369">
        <v>0</v>
      </c>
      <c r="E1369">
        <v>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1</v>
      </c>
      <c r="N1369">
        <v>1</v>
      </c>
      <c r="O1369">
        <v>1</v>
      </c>
      <c r="P1369">
        <v>1</v>
      </c>
      <c r="Q1369">
        <v>1</v>
      </c>
      <c r="R1369">
        <v>1</v>
      </c>
      <c r="S1369">
        <v>1</v>
      </c>
    </row>
    <row r="1370" spans="1:19" x14ac:dyDescent="0.25">
      <c r="A1370" s="1">
        <v>0.76585445601851854</v>
      </c>
      <c r="B1370" s="145" t="s">
        <v>165</v>
      </c>
      <c r="C1370">
        <v>1369</v>
      </c>
      <c r="D1370">
        <v>1</v>
      </c>
      <c r="E1370">
        <v>1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</v>
      </c>
      <c r="N1370">
        <v>1</v>
      </c>
      <c r="O1370">
        <v>1</v>
      </c>
      <c r="P1370">
        <v>1</v>
      </c>
      <c r="Q1370">
        <v>1</v>
      </c>
      <c r="R1370">
        <v>1</v>
      </c>
      <c r="S1370">
        <v>1</v>
      </c>
    </row>
    <row r="1371" spans="1:19" x14ac:dyDescent="0.25">
      <c r="A1371" s="1">
        <v>0.76585457175925931</v>
      </c>
      <c r="B1371" s="145" t="s">
        <v>165</v>
      </c>
      <c r="C1371">
        <v>1370</v>
      </c>
      <c r="D1371">
        <v>1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1</v>
      </c>
      <c r="O1371">
        <v>1</v>
      </c>
      <c r="P1371">
        <v>1</v>
      </c>
      <c r="Q1371">
        <v>1</v>
      </c>
      <c r="R1371">
        <v>1</v>
      </c>
      <c r="S1371">
        <v>1</v>
      </c>
    </row>
    <row r="1372" spans="1:19" x14ac:dyDescent="0.25">
      <c r="A1372" s="1">
        <v>0.76585468749999996</v>
      </c>
      <c r="B1372" s="145" t="s">
        <v>165</v>
      </c>
      <c r="C1372">
        <v>1371</v>
      </c>
      <c r="D1372">
        <v>1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1</v>
      </c>
      <c r="N1372">
        <v>1</v>
      </c>
      <c r="O1372">
        <v>1</v>
      </c>
      <c r="P1372">
        <v>1</v>
      </c>
      <c r="Q1372">
        <v>1</v>
      </c>
      <c r="R1372">
        <v>1</v>
      </c>
      <c r="S1372">
        <v>1</v>
      </c>
    </row>
    <row r="1373" spans="1:19" x14ac:dyDescent="0.25">
      <c r="A1373" s="1">
        <v>0.76585480324074073</v>
      </c>
      <c r="B1373" s="145" t="s">
        <v>165</v>
      </c>
      <c r="C1373">
        <v>1372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</row>
    <row r="1374" spans="1:19" x14ac:dyDescent="0.25">
      <c r="A1374" s="1">
        <v>0.7658549189814815</v>
      </c>
      <c r="B1374" s="145" t="s">
        <v>165</v>
      </c>
      <c r="C1374">
        <v>1373</v>
      </c>
      <c r="D1374">
        <v>1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1</v>
      </c>
      <c r="N1374">
        <v>1</v>
      </c>
      <c r="O1374">
        <v>1</v>
      </c>
      <c r="P1374">
        <v>1</v>
      </c>
      <c r="Q1374">
        <v>1</v>
      </c>
      <c r="R1374">
        <v>1</v>
      </c>
      <c r="S1374">
        <v>1</v>
      </c>
    </row>
    <row r="1375" spans="1:19" x14ac:dyDescent="0.25">
      <c r="A1375" s="1">
        <v>0.76585503472222227</v>
      </c>
      <c r="B1375" s="145" t="s">
        <v>2</v>
      </c>
      <c r="C1375">
        <v>1374</v>
      </c>
      <c r="D1375">
        <v>0</v>
      </c>
      <c r="E1375">
        <v>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1</v>
      </c>
      <c r="O1375">
        <v>1</v>
      </c>
      <c r="P1375">
        <v>1</v>
      </c>
      <c r="Q1375">
        <v>1</v>
      </c>
      <c r="R1375">
        <v>1</v>
      </c>
      <c r="S1375">
        <v>1</v>
      </c>
    </row>
    <row r="1376" spans="1:19" x14ac:dyDescent="0.25">
      <c r="A1376" s="1">
        <v>0.76585515046296293</v>
      </c>
      <c r="B1376" s="145" t="s">
        <v>165</v>
      </c>
      <c r="C1376">
        <v>1375</v>
      </c>
      <c r="D1376">
        <v>1</v>
      </c>
      <c r="E1376">
        <v>1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1</v>
      </c>
      <c r="N1376">
        <v>1</v>
      </c>
      <c r="O1376">
        <v>1</v>
      </c>
      <c r="P1376">
        <v>1</v>
      </c>
      <c r="Q1376">
        <v>1</v>
      </c>
      <c r="R1376">
        <v>1</v>
      </c>
      <c r="S1376">
        <v>1</v>
      </c>
    </row>
    <row r="1377" spans="1:19" x14ac:dyDescent="0.25">
      <c r="A1377" s="1">
        <v>0.7658552662037037</v>
      </c>
      <c r="B1377" s="145" t="s">
        <v>165</v>
      </c>
      <c r="C1377">
        <v>1376</v>
      </c>
      <c r="D1377">
        <v>1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1</v>
      </c>
      <c r="N1377">
        <v>1</v>
      </c>
      <c r="O1377">
        <v>1</v>
      </c>
      <c r="P1377">
        <v>1</v>
      </c>
      <c r="Q1377">
        <v>1</v>
      </c>
      <c r="R1377">
        <v>1</v>
      </c>
      <c r="S1377">
        <v>1</v>
      </c>
    </row>
    <row r="1378" spans="1:19" x14ac:dyDescent="0.25">
      <c r="A1378" s="1">
        <v>0.76585538194444447</v>
      </c>
      <c r="B1378" s="145" t="s">
        <v>165</v>
      </c>
      <c r="C1378">
        <v>1377</v>
      </c>
      <c r="D1378">
        <v>1</v>
      </c>
      <c r="E1378">
        <v>1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</v>
      </c>
      <c r="N1378">
        <v>1</v>
      </c>
      <c r="O1378">
        <v>1</v>
      </c>
      <c r="P1378">
        <v>1</v>
      </c>
      <c r="Q1378">
        <v>1</v>
      </c>
      <c r="R1378">
        <v>1</v>
      </c>
      <c r="S1378">
        <v>1</v>
      </c>
    </row>
    <row r="1379" spans="1:19" x14ac:dyDescent="0.25">
      <c r="A1379" s="1">
        <v>0.76585549768518524</v>
      </c>
      <c r="B1379" s="145" t="s">
        <v>165</v>
      </c>
      <c r="C1379">
        <v>1378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1</v>
      </c>
      <c r="N1379">
        <v>1</v>
      </c>
      <c r="O1379">
        <v>1</v>
      </c>
      <c r="P1379">
        <v>1</v>
      </c>
      <c r="Q1379">
        <v>1</v>
      </c>
      <c r="R1379">
        <v>1</v>
      </c>
      <c r="S1379">
        <v>1</v>
      </c>
    </row>
    <row r="1380" spans="1:19" x14ac:dyDescent="0.25">
      <c r="A1380" s="1">
        <v>0.7658556134259259</v>
      </c>
      <c r="B1380" s="145" t="s">
        <v>165</v>
      </c>
      <c r="C1380">
        <v>1379</v>
      </c>
      <c r="D1380">
        <v>1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1</v>
      </c>
      <c r="M1380">
        <v>1</v>
      </c>
      <c r="N1380">
        <v>1</v>
      </c>
      <c r="O1380">
        <v>1</v>
      </c>
      <c r="P1380">
        <v>1</v>
      </c>
      <c r="Q1380">
        <v>1</v>
      </c>
      <c r="R1380">
        <v>1</v>
      </c>
      <c r="S1380">
        <v>1</v>
      </c>
    </row>
    <row r="1381" spans="1:19" x14ac:dyDescent="0.25">
      <c r="A1381" s="1">
        <v>0.76585572916666667</v>
      </c>
      <c r="B1381" s="145" t="s">
        <v>2</v>
      </c>
      <c r="C1381">
        <v>1380</v>
      </c>
      <c r="D1381">
        <v>0</v>
      </c>
      <c r="E1381">
        <v>1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1</v>
      </c>
      <c r="O1381">
        <v>1</v>
      </c>
      <c r="P1381">
        <v>1</v>
      </c>
      <c r="Q1381">
        <v>1</v>
      </c>
      <c r="R1381">
        <v>1</v>
      </c>
      <c r="S1381">
        <v>1</v>
      </c>
    </row>
    <row r="1382" spans="1:19" x14ac:dyDescent="0.25">
      <c r="A1382" s="1">
        <v>0.76585584490740743</v>
      </c>
      <c r="B1382" s="145" t="s">
        <v>165</v>
      </c>
      <c r="C1382">
        <v>1381</v>
      </c>
      <c r="D1382">
        <v>1</v>
      </c>
      <c r="E1382">
        <v>1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1</v>
      </c>
      <c r="O1382">
        <v>1</v>
      </c>
      <c r="P1382">
        <v>1</v>
      </c>
      <c r="Q1382">
        <v>1</v>
      </c>
      <c r="R1382">
        <v>1</v>
      </c>
      <c r="S1382">
        <v>1</v>
      </c>
    </row>
    <row r="1383" spans="1:19" x14ac:dyDescent="0.25">
      <c r="A1383" s="1">
        <v>0.76585596064814809</v>
      </c>
      <c r="B1383" s="145" t="s">
        <v>165</v>
      </c>
      <c r="C1383">
        <v>1382</v>
      </c>
      <c r="D1383">
        <v>1</v>
      </c>
      <c r="E1383">
        <v>1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</v>
      </c>
      <c r="N1383">
        <v>1</v>
      </c>
      <c r="O1383">
        <v>1</v>
      </c>
      <c r="P1383">
        <v>1</v>
      </c>
      <c r="Q1383">
        <v>1</v>
      </c>
      <c r="R1383">
        <v>1</v>
      </c>
      <c r="S1383">
        <v>1</v>
      </c>
    </row>
    <row r="1384" spans="1:19" x14ac:dyDescent="0.25">
      <c r="A1384" s="1">
        <v>0.76585607638888886</v>
      </c>
      <c r="B1384" s="145" t="s">
        <v>165</v>
      </c>
      <c r="C1384">
        <v>1383</v>
      </c>
      <c r="D1384">
        <v>1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1</v>
      </c>
      <c r="O1384">
        <v>1</v>
      </c>
      <c r="P1384">
        <v>1</v>
      </c>
      <c r="Q1384">
        <v>1</v>
      </c>
      <c r="R1384">
        <v>1</v>
      </c>
      <c r="S1384">
        <v>1</v>
      </c>
    </row>
    <row r="1385" spans="1:19" x14ac:dyDescent="0.25">
      <c r="A1385" s="1">
        <v>0.76585620370370366</v>
      </c>
      <c r="B1385" s="145" t="s">
        <v>165</v>
      </c>
      <c r="C1385">
        <v>1384</v>
      </c>
      <c r="D1385">
        <v>1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1</v>
      </c>
      <c r="M1385">
        <v>1</v>
      </c>
      <c r="N1385">
        <v>1</v>
      </c>
      <c r="O1385">
        <v>1</v>
      </c>
      <c r="P1385">
        <v>1</v>
      </c>
      <c r="Q1385">
        <v>1</v>
      </c>
      <c r="R1385">
        <v>1</v>
      </c>
      <c r="S1385">
        <v>1</v>
      </c>
    </row>
    <row r="1386" spans="1:19" x14ac:dyDescent="0.25">
      <c r="A1386" s="1">
        <v>0.7658563078703704</v>
      </c>
      <c r="B1386" s="145" t="s">
        <v>165</v>
      </c>
      <c r="C1386">
        <v>1385</v>
      </c>
      <c r="D1386">
        <v>1</v>
      </c>
      <c r="E1386">
        <v>1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1</v>
      </c>
      <c r="N1386">
        <v>1</v>
      </c>
      <c r="O1386">
        <v>1</v>
      </c>
      <c r="P1386">
        <v>1</v>
      </c>
      <c r="Q1386">
        <v>1</v>
      </c>
      <c r="R1386">
        <v>1</v>
      </c>
      <c r="S1386">
        <v>1</v>
      </c>
    </row>
    <row r="1387" spans="1:19" x14ac:dyDescent="0.25">
      <c r="A1387" s="1">
        <v>0.76585642361111106</v>
      </c>
      <c r="B1387" s="145" t="s">
        <v>2</v>
      </c>
      <c r="C1387">
        <v>1386</v>
      </c>
      <c r="D1387">
        <v>0</v>
      </c>
      <c r="E1387">
        <v>1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1</v>
      </c>
      <c r="N1387">
        <v>1</v>
      </c>
      <c r="O1387">
        <v>1</v>
      </c>
      <c r="P1387">
        <v>1</v>
      </c>
      <c r="Q1387">
        <v>1</v>
      </c>
      <c r="R1387">
        <v>1</v>
      </c>
      <c r="S1387">
        <v>1</v>
      </c>
    </row>
    <row r="1388" spans="1:19" x14ac:dyDescent="0.25">
      <c r="A1388" s="1">
        <v>0.76585653935185183</v>
      </c>
      <c r="B1388" s="145" t="s">
        <v>165</v>
      </c>
      <c r="C1388">
        <v>1387</v>
      </c>
      <c r="D1388">
        <v>1</v>
      </c>
      <c r="E1388">
        <v>1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1</v>
      </c>
      <c r="O1388">
        <v>1</v>
      </c>
      <c r="P1388">
        <v>1</v>
      </c>
      <c r="Q1388">
        <v>1</v>
      </c>
      <c r="R1388">
        <v>1</v>
      </c>
      <c r="S1388">
        <v>1</v>
      </c>
    </row>
    <row r="1389" spans="1:19" x14ac:dyDescent="0.25">
      <c r="A1389" s="1">
        <v>0.7658566550925926</v>
      </c>
      <c r="B1389" s="145" t="s">
        <v>165</v>
      </c>
      <c r="C1389">
        <v>1388</v>
      </c>
      <c r="D1389">
        <v>1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1</v>
      </c>
      <c r="N1389">
        <v>1</v>
      </c>
      <c r="O1389">
        <v>1</v>
      </c>
      <c r="P1389">
        <v>1</v>
      </c>
      <c r="Q1389">
        <v>1</v>
      </c>
      <c r="R1389">
        <v>1</v>
      </c>
      <c r="S1389">
        <v>1</v>
      </c>
    </row>
    <row r="1390" spans="1:19" x14ac:dyDescent="0.25">
      <c r="A1390" s="1">
        <v>0.76585677083333337</v>
      </c>
      <c r="B1390" s="145" t="s">
        <v>165</v>
      </c>
      <c r="C1390">
        <v>1389</v>
      </c>
      <c r="D1390">
        <v>1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1</v>
      </c>
      <c r="N1390">
        <v>1</v>
      </c>
      <c r="O1390">
        <v>1</v>
      </c>
      <c r="P1390">
        <v>1</v>
      </c>
      <c r="Q1390">
        <v>1</v>
      </c>
      <c r="R1390">
        <v>1</v>
      </c>
      <c r="S1390">
        <v>1</v>
      </c>
    </row>
    <row r="1391" spans="1:19" x14ac:dyDescent="0.25">
      <c r="A1391" s="1">
        <v>0.76585688657407403</v>
      </c>
      <c r="B1391" s="145" t="s">
        <v>165</v>
      </c>
      <c r="C1391">
        <v>1390</v>
      </c>
      <c r="D1391">
        <v>1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1</v>
      </c>
      <c r="M1391">
        <v>1</v>
      </c>
      <c r="N1391">
        <v>1</v>
      </c>
      <c r="O1391">
        <v>1</v>
      </c>
      <c r="P1391">
        <v>1</v>
      </c>
      <c r="Q1391">
        <v>1</v>
      </c>
      <c r="R1391">
        <v>1</v>
      </c>
      <c r="S1391">
        <v>1</v>
      </c>
    </row>
    <row r="1392" spans="1:19" x14ac:dyDescent="0.25">
      <c r="A1392" s="1">
        <v>0.76585700231481479</v>
      </c>
      <c r="B1392" s="145" t="s">
        <v>165</v>
      </c>
      <c r="C1392">
        <v>1391</v>
      </c>
      <c r="D1392">
        <v>1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1</v>
      </c>
      <c r="M1392">
        <v>1</v>
      </c>
      <c r="N1392">
        <v>1</v>
      </c>
      <c r="O1392">
        <v>1</v>
      </c>
      <c r="P1392">
        <v>1</v>
      </c>
      <c r="Q1392">
        <v>1</v>
      </c>
      <c r="R1392">
        <v>1</v>
      </c>
      <c r="S1392">
        <v>1</v>
      </c>
    </row>
    <row r="1393" spans="1:19" x14ac:dyDescent="0.25">
      <c r="A1393" s="1">
        <v>0.76585711805555556</v>
      </c>
      <c r="B1393" s="145" t="s">
        <v>2</v>
      </c>
      <c r="C1393">
        <v>1392</v>
      </c>
      <c r="D1393">
        <v>0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1</v>
      </c>
      <c r="N1393">
        <v>1</v>
      </c>
      <c r="O1393">
        <v>1</v>
      </c>
      <c r="P1393">
        <v>1</v>
      </c>
      <c r="Q1393">
        <v>1</v>
      </c>
      <c r="R1393">
        <v>1</v>
      </c>
      <c r="S1393">
        <v>1</v>
      </c>
    </row>
    <row r="1394" spans="1:19" x14ac:dyDescent="0.25">
      <c r="A1394" s="1">
        <v>0.76585723379629633</v>
      </c>
      <c r="B1394" s="145" t="s">
        <v>165</v>
      </c>
      <c r="C1394">
        <v>1393</v>
      </c>
      <c r="D1394">
        <v>1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1</v>
      </c>
      <c r="N1394">
        <v>1</v>
      </c>
      <c r="O1394">
        <v>1</v>
      </c>
      <c r="P1394">
        <v>1</v>
      </c>
      <c r="Q1394">
        <v>1</v>
      </c>
      <c r="R1394">
        <v>1</v>
      </c>
      <c r="S1394">
        <v>1</v>
      </c>
    </row>
    <row r="1395" spans="1:19" x14ac:dyDescent="0.25">
      <c r="A1395" s="1">
        <v>0.76585734953703699</v>
      </c>
      <c r="B1395" s="145" t="s">
        <v>165</v>
      </c>
      <c r="C1395">
        <v>1394</v>
      </c>
      <c r="D1395">
        <v>1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1</v>
      </c>
      <c r="M1395">
        <v>1</v>
      </c>
      <c r="N1395">
        <v>1</v>
      </c>
      <c r="O1395">
        <v>1</v>
      </c>
      <c r="P1395">
        <v>1</v>
      </c>
      <c r="Q1395">
        <v>1</v>
      </c>
      <c r="R1395">
        <v>1</v>
      </c>
      <c r="S1395">
        <v>1</v>
      </c>
    </row>
    <row r="1396" spans="1:19" x14ac:dyDescent="0.25">
      <c r="A1396" s="1">
        <v>0.76585746527777776</v>
      </c>
      <c r="B1396" s="145" t="s">
        <v>165</v>
      </c>
      <c r="C1396">
        <v>1395</v>
      </c>
      <c r="D1396">
        <v>1</v>
      </c>
      <c r="E1396">
        <v>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1</v>
      </c>
      <c r="M1396">
        <v>1</v>
      </c>
      <c r="N1396">
        <v>1</v>
      </c>
      <c r="O1396">
        <v>1</v>
      </c>
      <c r="P1396">
        <v>1</v>
      </c>
      <c r="Q1396">
        <v>1</v>
      </c>
      <c r="R1396">
        <v>1</v>
      </c>
      <c r="S1396">
        <v>1</v>
      </c>
    </row>
    <row r="1397" spans="1:19" x14ac:dyDescent="0.25">
      <c r="A1397" s="1">
        <v>0.76585758101851853</v>
      </c>
      <c r="B1397" s="145" t="s">
        <v>165</v>
      </c>
      <c r="C1397">
        <v>1396</v>
      </c>
      <c r="D1397">
        <v>1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1</v>
      </c>
      <c r="N1397">
        <v>1</v>
      </c>
      <c r="O1397">
        <v>1</v>
      </c>
      <c r="P1397">
        <v>1</v>
      </c>
      <c r="Q1397">
        <v>1</v>
      </c>
      <c r="R1397">
        <v>1</v>
      </c>
      <c r="S1397">
        <v>1</v>
      </c>
    </row>
    <row r="1398" spans="1:19" x14ac:dyDescent="0.25">
      <c r="A1398" s="1">
        <v>0.7658576967592593</v>
      </c>
      <c r="B1398" s="145" t="s">
        <v>165</v>
      </c>
      <c r="C1398">
        <v>1397</v>
      </c>
      <c r="D1398">
        <v>1</v>
      </c>
      <c r="E1398">
        <v>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1</v>
      </c>
      <c r="O1398">
        <v>1</v>
      </c>
      <c r="P1398">
        <v>1</v>
      </c>
      <c r="Q1398">
        <v>1</v>
      </c>
      <c r="R1398">
        <v>1</v>
      </c>
      <c r="S1398">
        <v>1</v>
      </c>
    </row>
    <row r="1399" spans="1:19" x14ac:dyDescent="0.25">
      <c r="A1399" s="1">
        <v>0.76585781249999996</v>
      </c>
      <c r="B1399" s="145" t="s">
        <v>2</v>
      </c>
      <c r="C1399">
        <v>1398</v>
      </c>
      <c r="D1399">
        <v>0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1</v>
      </c>
      <c r="O1399">
        <v>1</v>
      </c>
      <c r="P1399">
        <v>1</v>
      </c>
      <c r="Q1399">
        <v>1</v>
      </c>
      <c r="R1399">
        <v>1</v>
      </c>
      <c r="S1399">
        <v>1</v>
      </c>
    </row>
    <row r="1400" spans="1:19" x14ac:dyDescent="0.25">
      <c r="A1400" s="1">
        <v>0.76585792824074073</v>
      </c>
      <c r="B1400" s="145" t="s">
        <v>165</v>
      </c>
      <c r="C1400">
        <v>1399</v>
      </c>
      <c r="D1400">
        <v>1</v>
      </c>
      <c r="E1400">
        <v>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1</v>
      </c>
      <c r="O1400">
        <v>1</v>
      </c>
      <c r="P1400">
        <v>1</v>
      </c>
      <c r="Q1400">
        <v>1</v>
      </c>
      <c r="R1400">
        <v>1</v>
      </c>
      <c r="S1400">
        <v>1</v>
      </c>
    </row>
    <row r="1401" spans="1:19" x14ac:dyDescent="0.25">
      <c r="A1401" s="1">
        <v>0.7658580439814815</v>
      </c>
      <c r="B1401" s="145" t="s">
        <v>165</v>
      </c>
      <c r="C1401">
        <v>1400</v>
      </c>
      <c r="D1401">
        <v>1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1</v>
      </c>
      <c r="N1401">
        <v>1</v>
      </c>
      <c r="O1401">
        <v>1</v>
      </c>
      <c r="P1401">
        <v>1</v>
      </c>
      <c r="Q1401">
        <v>1</v>
      </c>
      <c r="R1401">
        <v>1</v>
      </c>
      <c r="S1401">
        <v>1</v>
      </c>
    </row>
    <row r="1402" spans="1:19" x14ac:dyDescent="0.25">
      <c r="A1402" s="1">
        <v>0.76585815972222226</v>
      </c>
      <c r="B1402" s="145" t="s">
        <v>165</v>
      </c>
      <c r="C1402">
        <v>1401</v>
      </c>
      <c r="D1402">
        <v>1</v>
      </c>
      <c r="E1402">
        <v>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</row>
    <row r="1403" spans="1:19" x14ac:dyDescent="0.25">
      <c r="A1403" s="1">
        <v>0.76585827546296292</v>
      </c>
      <c r="B1403" s="145" t="s">
        <v>165</v>
      </c>
      <c r="C1403">
        <v>1402</v>
      </c>
      <c r="D1403">
        <v>1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1</v>
      </c>
      <c r="N1403">
        <v>1</v>
      </c>
      <c r="O1403">
        <v>1</v>
      </c>
      <c r="P1403">
        <v>1</v>
      </c>
      <c r="Q1403">
        <v>1</v>
      </c>
      <c r="R1403">
        <v>1</v>
      </c>
      <c r="S1403">
        <v>1</v>
      </c>
    </row>
    <row r="1404" spans="1:19" x14ac:dyDescent="0.25">
      <c r="A1404" s="1">
        <v>0.76585837962962966</v>
      </c>
      <c r="B1404" s="145" t="s">
        <v>165</v>
      </c>
      <c r="C1404">
        <v>1403</v>
      </c>
      <c r="D1404">
        <v>1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  <c r="O1404">
        <v>1</v>
      </c>
      <c r="P1404">
        <v>1</v>
      </c>
      <c r="Q1404">
        <v>1</v>
      </c>
      <c r="R1404">
        <v>1</v>
      </c>
      <c r="S1404">
        <v>1</v>
      </c>
    </row>
    <row r="1405" spans="1:19" x14ac:dyDescent="0.25">
      <c r="A1405" s="1">
        <v>0.76585849537037032</v>
      </c>
      <c r="B1405" s="145" t="s">
        <v>2</v>
      </c>
      <c r="C1405">
        <v>1404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</v>
      </c>
      <c r="N1405">
        <v>1</v>
      </c>
      <c r="O1405">
        <v>1</v>
      </c>
      <c r="P1405">
        <v>1</v>
      </c>
      <c r="Q1405">
        <v>1</v>
      </c>
      <c r="R1405">
        <v>1</v>
      </c>
      <c r="S1405">
        <v>1</v>
      </c>
    </row>
    <row r="1406" spans="1:19" x14ac:dyDescent="0.25">
      <c r="A1406" s="1">
        <v>0.76585861111111109</v>
      </c>
      <c r="B1406" s="145" t="s">
        <v>165</v>
      </c>
      <c r="C1406">
        <v>1405</v>
      </c>
      <c r="D1406">
        <v>1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1</v>
      </c>
      <c r="M1406">
        <v>1</v>
      </c>
      <c r="N1406">
        <v>1</v>
      </c>
      <c r="O1406">
        <v>1</v>
      </c>
      <c r="P1406">
        <v>1</v>
      </c>
      <c r="Q1406">
        <v>1</v>
      </c>
      <c r="R1406">
        <v>1</v>
      </c>
      <c r="S1406">
        <v>1</v>
      </c>
    </row>
    <row r="1407" spans="1:19" x14ac:dyDescent="0.25">
      <c r="A1407" s="1">
        <v>0.76585872685185186</v>
      </c>
      <c r="B1407" s="145" t="s">
        <v>165</v>
      </c>
      <c r="C1407">
        <v>1406</v>
      </c>
      <c r="D1407">
        <v>1</v>
      </c>
      <c r="E1407">
        <v>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1</v>
      </c>
      <c r="N1407">
        <v>1</v>
      </c>
      <c r="O1407">
        <v>1</v>
      </c>
      <c r="P1407">
        <v>1</v>
      </c>
      <c r="Q1407">
        <v>1</v>
      </c>
      <c r="R1407">
        <v>1</v>
      </c>
      <c r="S1407">
        <v>1</v>
      </c>
    </row>
    <row r="1408" spans="1:19" x14ac:dyDescent="0.25">
      <c r="A1408" s="1">
        <v>0.76585884259259263</v>
      </c>
      <c r="B1408" s="145" t="s">
        <v>165</v>
      </c>
      <c r="C1408">
        <v>1407</v>
      </c>
      <c r="D1408">
        <v>1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1</v>
      </c>
      <c r="O1408">
        <v>1</v>
      </c>
      <c r="P1408">
        <v>1</v>
      </c>
      <c r="Q1408">
        <v>1</v>
      </c>
      <c r="R1408">
        <v>1</v>
      </c>
      <c r="S1408">
        <v>1</v>
      </c>
    </row>
    <row r="1409" spans="1:19" x14ac:dyDescent="0.25">
      <c r="A1409" s="1">
        <v>0.76585895833333328</v>
      </c>
      <c r="B1409" s="145" t="s">
        <v>165</v>
      </c>
      <c r="C1409">
        <v>1408</v>
      </c>
      <c r="D1409">
        <v>1</v>
      </c>
      <c r="E1409">
        <v>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1</v>
      </c>
      <c r="N1409">
        <v>1</v>
      </c>
      <c r="O1409">
        <v>1</v>
      </c>
      <c r="P1409">
        <v>1</v>
      </c>
      <c r="Q1409">
        <v>1</v>
      </c>
      <c r="R1409">
        <v>1</v>
      </c>
      <c r="S1409">
        <v>1</v>
      </c>
    </row>
    <row r="1410" spans="1:19" x14ac:dyDescent="0.25">
      <c r="A1410" s="1">
        <v>0.76585907407407405</v>
      </c>
      <c r="B1410" s="145" t="s">
        <v>165</v>
      </c>
      <c r="C1410">
        <v>1409</v>
      </c>
      <c r="D1410">
        <v>1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1</v>
      </c>
      <c r="M1410">
        <v>1</v>
      </c>
      <c r="N1410">
        <v>1</v>
      </c>
      <c r="O1410">
        <v>1</v>
      </c>
      <c r="P1410">
        <v>1</v>
      </c>
      <c r="Q1410">
        <v>1</v>
      </c>
      <c r="R1410">
        <v>1</v>
      </c>
      <c r="S1410">
        <v>1</v>
      </c>
    </row>
    <row r="1411" spans="1:19" x14ac:dyDescent="0.25">
      <c r="A1411" s="1">
        <v>0.76585918981481482</v>
      </c>
      <c r="B1411" s="145" t="s">
        <v>2</v>
      </c>
      <c r="C1411">
        <v>1410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1</v>
      </c>
      <c r="N1411">
        <v>1</v>
      </c>
      <c r="O1411">
        <v>1</v>
      </c>
      <c r="P1411">
        <v>1</v>
      </c>
      <c r="Q1411">
        <v>1</v>
      </c>
      <c r="R1411">
        <v>1</v>
      </c>
      <c r="S1411">
        <v>1</v>
      </c>
    </row>
    <row r="1412" spans="1:19" x14ac:dyDescent="0.25">
      <c r="A1412" s="1">
        <v>0.76585930555555559</v>
      </c>
      <c r="B1412" s="145" t="s">
        <v>165</v>
      </c>
      <c r="C1412">
        <v>1411</v>
      </c>
      <c r="D1412">
        <v>1</v>
      </c>
      <c r="E1412">
        <v>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1</v>
      </c>
      <c r="M1412">
        <v>1</v>
      </c>
      <c r="N1412">
        <v>1</v>
      </c>
      <c r="O1412">
        <v>1</v>
      </c>
      <c r="P1412">
        <v>1</v>
      </c>
      <c r="Q1412">
        <v>1</v>
      </c>
      <c r="R1412">
        <v>1</v>
      </c>
      <c r="S1412">
        <v>1</v>
      </c>
    </row>
    <row r="1413" spans="1:19" x14ac:dyDescent="0.25">
      <c r="A1413" s="1">
        <v>0.76585942129629625</v>
      </c>
      <c r="B1413" s="145" t="s">
        <v>165</v>
      </c>
      <c r="C1413">
        <v>1412</v>
      </c>
      <c r="D1413">
        <v>1</v>
      </c>
      <c r="E1413">
        <v>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</v>
      </c>
      <c r="N1413">
        <v>1</v>
      </c>
      <c r="O1413">
        <v>1</v>
      </c>
      <c r="P1413">
        <v>1</v>
      </c>
      <c r="Q1413">
        <v>1</v>
      </c>
      <c r="R1413">
        <v>1</v>
      </c>
      <c r="S1413">
        <v>1</v>
      </c>
    </row>
    <row r="1414" spans="1:19" x14ac:dyDescent="0.25">
      <c r="A1414" s="1">
        <v>0.76585953703703702</v>
      </c>
      <c r="B1414" s="145" t="s">
        <v>165</v>
      </c>
      <c r="C1414">
        <v>1413</v>
      </c>
      <c r="D1414">
        <v>1</v>
      </c>
      <c r="E1414">
        <v>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1</v>
      </c>
      <c r="M1414">
        <v>1</v>
      </c>
      <c r="N1414">
        <v>1</v>
      </c>
      <c r="O1414">
        <v>1</v>
      </c>
      <c r="P1414">
        <v>1</v>
      </c>
      <c r="Q1414">
        <v>1</v>
      </c>
      <c r="R1414">
        <v>1</v>
      </c>
      <c r="S1414">
        <v>1</v>
      </c>
    </row>
    <row r="1415" spans="1:19" x14ac:dyDescent="0.25">
      <c r="A1415" s="1">
        <v>0.76585965277777779</v>
      </c>
      <c r="B1415" s="145" t="s">
        <v>165</v>
      </c>
      <c r="C1415">
        <v>1414</v>
      </c>
      <c r="D1415">
        <v>1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1</v>
      </c>
      <c r="N1415">
        <v>1</v>
      </c>
      <c r="O1415">
        <v>1</v>
      </c>
      <c r="P1415">
        <v>1</v>
      </c>
      <c r="Q1415">
        <v>1</v>
      </c>
      <c r="R1415">
        <v>1</v>
      </c>
      <c r="S1415">
        <v>1</v>
      </c>
    </row>
    <row r="1416" spans="1:19" x14ac:dyDescent="0.25">
      <c r="A1416" s="1">
        <v>0.76585976851851856</v>
      </c>
      <c r="B1416" s="145" t="s">
        <v>165</v>
      </c>
      <c r="C1416">
        <v>1415</v>
      </c>
      <c r="D1416">
        <v>1</v>
      </c>
      <c r="E1416">
        <v>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1</v>
      </c>
      <c r="M1416">
        <v>1</v>
      </c>
      <c r="N1416">
        <v>1</v>
      </c>
      <c r="O1416">
        <v>1</v>
      </c>
      <c r="P1416">
        <v>1</v>
      </c>
      <c r="Q1416">
        <v>1</v>
      </c>
      <c r="R1416">
        <v>1</v>
      </c>
      <c r="S1416">
        <v>1</v>
      </c>
    </row>
    <row r="1417" spans="1:19" x14ac:dyDescent="0.25">
      <c r="A1417" s="1">
        <v>0.76585988425925922</v>
      </c>
      <c r="B1417" s="145" t="s">
        <v>2</v>
      </c>
      <c r="C1417">
        <v>1416</v>
      </c>
      <c r="D1417">
        <v>0</v>
      </c>
      <c r="E1417">
        <v>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1</v>
      </c>
      <c r="M1417">
        <v>1</v>
      </c>
      <c r="N1417">
        <v>1</v>
      </c>
      <c r="O1417">
        <v>1</v>
      </c>
      <c r="P1417">
        <v>1</v>
      </c>
      <c r="Q1417">
        <v>1</v>
      </c>
      <c r="R1417">
        <v>1</v>
      </c>
      <c r="S1417">
        <v>1</v>
      </c>
    </row>
    <row r="1418" spans="1:19" x14ac:dyDescent="0.25">
      <c r="A1418" s="1">
        <v>0.76585999999999999</v>
      </c>
      <c r="B1418" s="145" t="s">
        <v>165</v>
      </c>
      <c r="C1418">
        <v>1417</v>
      </c>
      <c r="D1418">
        <v>1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1</v>
      </c>
      <c r="N1418">
        <v>1</v>
      </c>
      <c r="O1418">
        <v>1</v>
      </c>
      <c r="P1418">
        <v>1</v>
      </c>
      <c r="Q1418">
        <v>1</v>
      </c>
      <c r="R1418">
        <v>1</v>
      </c>
      <c r="S1418">
        <v>1</v>
      </c>
    </row>
    <row r="1419" spans="1:19" x14ac:dyDescent="0.25">
      <c r="A1419" s="1">
        <v>0.76586011574074075</v>
      </c>
      <c r="B1419" s="145" t="s">
        <v>165</v>
      </c>
      <c r="C1419">
        <v>1418</v>
      </c>
      <c r="D1419">
        <v>1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1</v>
      </c>
      <c r="N1419">
        <v>1</v>
      </c>
      <c r="O1419">
        <v>1</v>
      </c>
      <c r="P1419">
        <v>1</v>
      </c>
      <c r="Q1419">
        <v>1</v>
      </c>
      <c r="R1419">
        <v>1</v>
      </c>
      <c r="S1419">
        <v>1</v>
      </c>
    </row>
    <row r="1420" spans="1:19" x14ac:dyDescent="0.25">
      <c r="A1420" s="1">
        <v>0.76586023148148152</v>
      </c>
      <c r="B1420" s="145" t="s">
        <v>165</v>
      </c>
      <c r="C1420">
        <v>1419</v>
      </c>
      <c r="D1420">
        <v>1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1</v>
      </c>
      <c r="N1420">
        <v>1</v>
      </c>
      <c r="O1420">
        <v>1</v>
      </c>
      <c r="P1420">
        <v>1</v>
      </c>
      <c r="Q1420">
        <v>1</v>
      </c>
      <c r="R1420">
        <v>1</v>
      </c>
      <c r="S1420">
        <v>1</v>
      </c>
    </row>
    <row r="1421" spans="1:19" x14ac:dyDescent="0.25">
      <c r="A1421" s="1">
        <v>0.76586034722222218</v>
      </c>
      <c r="B1421" s="145" t="s">
        <v>165</v>
      </c>
      <c r="C1421">
        <v>1420</v>
      </c>
      <c r="D1421">
        <v>1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1</v>
      </c>
      <c r="N1421">
        <v>1</v>
      </c>
      <c r="O1421">
        <v>1</v>
      </c>
      <c r="P1421">
        <v>1</v>
      </c>
      <c r="Q1421">
        <v>1</v>
      </c>
      <c r="R1421">
        <v>1</v>
      </c>
      <c r="S1421">
        <v>1</v>
      </c>
    </row>
    <row r="1422" spans="1:19" x14ac:dyDescent="0.25">
      <c r="A1422" s="1">
        <v>0.76586046296296295</v>
      </c>
      <c r="B1422" s="145" t="s">
        <v>165</v>
      </c>
      <c r="C1422">
        <v>1421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</v>
      </c>
      <c r="N1422">
        <v>1</v>
      </c>
      <c r="O1422">
        <v>1</v>
      </c>
      <c r="P1422">
        <v>1</v>
      </c>
      <c r="Q1422">
        <v>1</v>
      </c>
      <c r="R1422">
        <v>1</v>
      </c>
      <c r="S1422">
        <v>1</v>
      </c>
    </row>
    <row r="1423" spans="1:19" x14ac:dyDescent="0.25">
      <c r="A1423" s="1">
        <v>0.76586057870370372</v>
      </c>
      <c r="B1423" s="145" t="s">
        <v>2</v>
      </c>
      <c r="C1423">
        <v>1422</v>
      </c>
      <c r="D1423">
        <v>0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1</v>
      </c>
      <c r="O1423">
        <v>1</v>
      </c>
      <c r="P1423">
        <v>1</v>
      </c>
      <c r="Q1423">
        <v>1</v>
      </c>
      <c r="R1423">
        <v>1</v>
      </c>
      <c r="S1423">
        <v>1</v>
      </c>
    </row>
    <row r="1424" spans="1:19" x14ac:dyDescent="0.25">
      <c r="A1424" s="1">
        <v>0.76586069444444449</v>
      </c>
      <c r="B1424" s="145" t="s">
        <v>165</v>
      </c>
      <c r="C1424">
        <v>1423</v>
      </c>
      <c r="D1424">
        <v>1</v>
      </c>
      <c r="E1424">
        <v>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1</v>
      </c>
      <c r="M1424">
        <v>1</v>
      </c>
      <c r="N1424">
        <v>1</v>
      </c>
      <c r="O1424">
        <v>1</v>
      </c>
      <c r="P1424">
        <v>1</v>
      </c>
      <c r="Q1424">
        <v>1</v>
      </c>
      <c r="R1424">
        <v>1</v>
      </c>
      <c r="S1424">
        <v>1</v>
      </c>
    </row>
    <row r="1425" spans="1:19" x14ac:dyDescent="0.25">
      <c r="A1425" s="1">
        <v>0.76586081018518515</v>
      </c>
      <c r="B1425" s="145" t="s">
        <v>165</v>
      </c>
      <c r="C1425">
        <v>1424</v>
      </c>
      <c r="D1425">
        <v>1</v>
      </c>
      <c r="E1425">
        <v>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1</v>
      </c>
      <c r="N1425">
        <v>1</v>
      </c>
      <c r="O1425">
        <v>1</v>
      </c>
      <c r="P1425">
        <v>1</v>
      </c>
      <c r="Q1425">
        <v>1</v>
      </c>
      <c r="R1425">
        <v>1</v>
      </c>
      <c r="S1425">
        <v>1</v>
      </c>
    </row>
    <row r="1426" spans="1:19" x14ac:dyDescent="0.25">
      <c r="A1426" s="1">
        <v>0.76586092592592592</v>
      </c>
      <c r="B1426" s="145" t="s">
        <v>165</v>
      </c>
      <c r="C1426">
        <v>1425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1</v>
      </c>
      <c r="N1426">
        <v>1</v>
      </c>
      <c r="O1426">
        <v>1</v>
      </c>
      <c r="P1426">
        <v>1</v>
      </c>
      <c r="Q1426">
        <v>1</v>
      </c>
      <c r="R1426">
        <v>1</v>
      </c>
      <c r="S1426">
        <v>1</v>
      </c>
    </row>
    <row r="1427" spans="1:19" x14ac:dyDescent="0.25">
      <c r="A1427" s="1">
        <v>0.76586104166666669</v>
      </c>
      <c r="B1427" s="145" t="s">
        <v>165</v>
      </c>
      <c r="C1427">
        <v>1426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1</v>
      </c>
      <c r="N1427">
        <v>1</v>
      </c>
      <c r="O1427">
        <v>1</v>
      </c>
      <c r="P1427">
        <v>1</v>
      </c>
      <c r="Q1427">
        <v>1</v>
      </c>
      <c r="R1427">
        <v>1</v>
      </c>
      <c r="S1427">
        <v>1</v>
      </c>
    </row>
    <row r="1428" spans="1:19" x14ac:dyDescent="0.25">
      <c r="A1428" s="1">
        <v>0.76586115740740746</v>
      </c>
      <c r="B1428" s="145" t="s">
        <v>165</v>
      </c>
      <c r="C1428">
        <v>1427</v>
      </c>
      <c r="D1428">
        <v>1</v>
      </c>
      <c r="E1428">
        <v>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1</v>
      </c>
      <c r="N1428">
        <v>1</v>
      </c>
      <c r="O1428">
        <v>1</v>
      </c>
      <c r="P1428">
        <v>1</v>
      </c>
      <c r="Q1428">
        <v>1</v>
      </c>
      <c r="R1428">
        <v>1</v>
      </c>
      <c r="S1428">
        <v>1</v>
      </c>
    </row>
    <row r="1429" spans="1:19" x14ac:dyDescent="0.25">
      <c r="A1429" s="1">
        <v>0.76586127314814811</v>
      </c>
      <c r="B1429" s="145" t="s">
        <v>2</v>
      </c>
      <c r="C1429">
        <v>1428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1</v>
      </c>
      <c r="N1429">
        <v>1</v>
      </c>
      <c r="O1429">
        <v>1</v>
      </c>
      <c r="P1429">
        <v>1</v>
      </c>
      <c r="Q1429">
        <v>1</v>
      </c>
      <c r="R1429">
        <v>1</v>
      </c>
      <c r="S1429">
        <v>1</v>
      </c>
    </row>
    <row r="1430" spans="1:19" x14ac:dyDescent="0.25">
      <c r="A1430" s="1">
        <v>0.76586138888888888</v>
      </c>
      <c r="B1430" s="145" t="s">
        <v>165</v>
      </c>
      <c r="C1430">
        <v>1429</v>
      </c>
      <c r="D1430">
        <v>1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1</v>
      </c>
      <c r="O1430">
        <v>1</v>
      </c>
      <c r="P1430">
        <v>1</v>
      </c>
      <c r="Q1430">
        <v>1</v>
      </c>
      <c r="R1430">
        <v>1</v>
      </c>
      <c r="S1430">
        <v>1</v>
      </c>
    </row>
    <row r="1431" spans="1:19" x14ac:dyDescent="0.25">
      <c r="A1431" s="1">
        <v>0.76586150462962965</v>
      </c>
      <c r="B1431" s="145" t="s">
        <v>165</v>
      </c>
      <c r="C1431">
        <v>1430</v>
      </c>
      <c r="D1431">
        <v>1</v>
      </c>
      <c r="E1431">
        <v>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1</v>
      </c>
      <c r="N1431">
        <v>1</v>
      </c>
      <c r="O1431">
        <v>1</v>
      </c>
      <c r="P1431">
        <v>1</v>
      </c>
      <c r="Q1431">
        <v>1</v>
      </c>
      <c r="R1431">
        <v>1</v>
      </c>
      <c r="S1431">
        <v>1</v>
      </c>
    </row>
    <row r="1432" spans="1:19" x14ac:dyDescent="0.25">
      <c r="A1432" s="1">
        <v>0.76586162037037042</v>
      </c>
      <c r="B1432" s="145" t="s">
        <v>165</v>
      </c>
      <c r="C1432">
        <v>1431</v>
      </c>
      <c r="D1432">
        <v>1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1</v>
      </c>
      <c r="M1432">
        <v>1</v>
      </c>
      <c r="N1432">
        <v>1</v>
      </c>
      <c r="O1432">
        <v>1</v>
      </c>
      <c r="P1432">
        <v>1</v>
      </c>
      <c r="Q1432">
        <v>1</v>
      </c>
      <c r="R1432">
        <v>1</v>
      </c>
      <c r="S1432">
        <v>1</v>
      </c>
    </row>
    <row r="1433" spans="1:19" x14ac:dyDescent="0.25">
      <c r="A1433" s="1">
        <v>0.76586173611111108</v>
      </c>
      <c r="B1433" s="145" t="s">
        <v>165</v>
      </c>
      <c r="C1433">
        <v>1432</v>
      </c>
      <c r="D1433">
        <v>1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1</v>
      </c>
      <c r="M1433">
        <v>1</v>
      </c>
      <c r="N1433">
        <v>1</v>
      </c>
      <c r="O1433">
        <v>1</v>
      </c>
      <c r="P1433">
        <v>1</v>
      </c>
      <c r="Q1433">
        <v>1</v>
      </c>
      <c r="R1433">
        <v>1</v>
      </c>
      <c r="S1433">
        <v>1</v>
      </c>
    </row>
    <row r="1434" spans="1:19" x14ac:dyDescent="0.25">
      <c r="A1434" s="1">
        <v>0.76586185185185185</v>
      </c>
      <c r="B1434" s="145" t="s">
        <v>165</v>
      </c>
      <c r="C1434">
        <v>1433</v>
      </c>
      <c r="D1434">
        <v>1</v>
      </c>
      <c r="E1434">
        <v>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1</v>
      </c>
      <c r="M1434">
        <v>1</v>
      </c>
      <c r="N1434">
        <v>1</v>
      </c>
      <c r="O1434">
        <v>1</v>
      </c>
      <c r="P1434">
        <v>1</v>
      </c>
      <c r="Q1434">
        <v>1</v>
      </c>
      <c r="R1434">
        <v>1</v>
      </c>
      <c r="S1434">
        <v>1</v>
      </c>
    </row>
    <row r="1435" spans="1:19" x14ac:dyDescent="0.25">
      <c r="A1435" s="1">
        <v>0.76586196759259262</v>
      </c>
      <c r="B1435" s="145" t="s">
        <v>2</v>
      </c>
      <c r="C1435">
        <v>1434</v>
      </c>
      <c r="D1435">
        <v>0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1</v>
      </c>
      <c r="O1435">
        <v>1</v>
      </c>
      <c r="P1435">
        <v>1</v>
      </c>
      <c r="Q1435">
        <v>1</v>
      </c>
      <c r="R1435">
        <v>1</v>
      </c>
      <c r="S1435">
        <v>1</v>
      </c>
    </row>
    <row r="1436" spans="1:19" x14ac:dyDescent="0.25">
      <c r="A1436" s="1">
        <v>0.76586208333333339</v>
      </c>
      <c r="B1436" s="145" t="s">
        <v>165</v>
      </c>
      <c r="C1436">
        <v>1435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1</v>
      </c>
      <c r="N1436">
        <v>1</v>
      </c>
      <c r="O1436">
        <v>1</v>
      </c>
      <c r="P1436">
        <v>1</v>
      </c>
      <c r="Q1436">
        <v>1</v>
      </c>
      <c r="R1436">
        <v>1</v>
      </c>
      <c r="S1436">
        <v>1</v>
      </c>
    </row>
    <row r="1437" spans="1:19" x14ac:dyDescent="0.25">
      <c r="A1437" s="1">
        <v>0.76586219907407405</v>
      </c>
      <c r="B1437" s="145" t="s">
        <v>165</v>
      </c>
      <c r="C1437">
        <v>1436</v>
      </c>
      <c r="D1437">
        <v>1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1</v>
      </c>
      <c r="N1437">
        <v>1</v>
      </c>
      <c r="O1437">
        <v>1</v>
      </c>
      <c r="P1437">
        <v>1</v>
      </c>
      <c r="Q1437">
        <v>1</v>
      </c>
      <c r="R1437">
        <v>1</v>
      </c>
      <c r="S1437">
        <v>1</v>
      </c>
    </row>
    <row r="1438" spans="1:19" x14ac:dyDescent="0.25">
      <c r="A1438" s="1">
        <v>0.76586231481481482</v>
      </c>
      <c r="B1438" s="145" t="s">
        <v>165</v>
      </c>
      <c r="C1438">
        <v>1437</v>
      </c>
      <c r="D1438">
        <v>1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1</v>
      </c>
      <c r="N1438">
        <v>1</v>
      </c>
      <c r="O1438">
        <v>1</v>
      </c>
      <c r="P1438">
        <v>1</v>
      </c>
      <c r="Q1438">
        <v>1</v>
      </c>
      <c r="R1438">
        <v>1</v>
      </c>
      <c r="S1438">
        <v>1</v>
      </c>
    </row>
    <row r="1439" spans="1:19" x14ac:dyDescent="0.25">
      <c r="A1439" s="1">
        <v>0.76586243055555558</v>
      </c>
      <c r="B1439" s="145" t="s">
        <v>165</v>
      </c>
      <c r="C1439">
        <v>1438</v>
      </c>
      <c r="D1439">
        <v>1</v>
      </c>
      <c r="E1439">
        <v>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1</v>
      </c>
      <c r="P1439">
        <v>1</v>
      </c>
      <c r="Q1439">
        <v>1</v>
      </c>
      <c r="R1439">
        <v>1</v>
      </c>
      <c r="S1439">
        <v>1</v>
      </c>
    </row>
    <row r="1440" spans="1:19" x14ac:dyDescent="0.25">
      <c r="A1440" s="1">
        <v>0.76586254629629624</v>
      </c>
      <c r="B1440" s="145" t="s">
        <v>165</v>
      </c>
      <c r="C1440">
        <v>1439</v>
      </c>
      <c r="D1440">
        <v>1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1</v>
      </c>
      <c r="Q1440">
        <v>1</v>
      </c>
      <c r="R1440">
        <v>1</v>
      </c>
      <c r="S1440">
        <v>1</v>
      </c>
    </row>
    <row r="1441" spans="1:19" x14ac:dyDescent="0.25">
      <c r="A1441" s="1">
        <v>0.76586266203703701</v>
      </c>
      <c r="B1441" s="145" t="s">
        <v>2</v>
      </c>
      <c r="C1441">
        <v>1440</v>
      </c>
      <c r="D1441">
        <v>0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1</v>
      </c>
      <c r="M1441">
        <v>1</v>
      </c>
      <c r="N1441">
        <v>1</v>
      </c>
      <c r="O1441">
        <v>1</v>
      </c>
      <c r="P1441">
        <v>1</v>
      </c>
      <c r="Q1441">
        <v>1</v>
      </c>
      <c r="R1441">
        <v>1</v>
      </c>
      <c r="S1441">
        <v>1</v>
      </c>
    </row>
    <row r="1442" spans="1:19" x14ac:dyDescent="0.25">
      <c r="A1442" s="1">
        <v>0.76586277777777778</v>
      </c>
      <c r="B1442" s="145" t="s">
        <v>165</v>
      </c>
      <c r="C1442">
        <v>1441</v>
      </c>
      <c r="D1442">
        <v>1</v>
      </c>
      <c r="E1442">
        <v>1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1</v>
      </c>
      <c r="S1442">
        <v>1</v>
      </c>
    </row>
    <row r="1443" spans="1:19" x14ac:dyDescent="0.25">
      <c r="A1443" s="1">
        <v>0.76586289351851855</v>
      </c>
      <c r="B1443" s="145" t="s">
        <v>165</v>
      </c>
      <c r="C1443">
        <v>1442</v>
      </c>
      <c r="D1443">
        <v>1</v>
      </c>
      <c r="E1443">
        <v>1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1</v>
      </c>
      <c r="O1443">
        <v>1</v>
      </c>
      <c r="P1443">
        <v>1</v>
      </c>
      <c r="Q1443">
        <v>1</v>
      </c>
      <c r="R1443">
        <v>1</v>
      </c>
      <c r="S1443">
        <v>1</v>
      </c>
    </row>
    <row r="1444" spans="1:19" x14ac:dyDescent="0.25">
      <c r="A1444" s="1">
        <v>0.76586300925925921</v>
      </c>
      <c r="B1444" s="145" t="s">
        <v>165</v>
      </c>
      <c r="C1444">
        <v>1443</v>
      </c>
      <c r="D1444">
        <v>1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1</v>
      </c>
      <c r="M1444">
        <v>1</v>
      </c>
      <c r="N1444">
        <v>1</v>
      </c>
      <c r="O1444">
        <v>1</v>
      </c>
      <c r="P1444">
        <v>1</v>
      </c>
      <c r="Q1444">
        <v>1</v>
      </c>
      <c r="R1444">
        <v>1</v>
      </c>
      <c r="S1444">
        <v>1</v>
      </c>
    </row>
    <row r="1445" spans="1:19" x14ac:dyDescent="0.25">
      <c r="A1445" s="1">
        <v>0.76586312499999998</v>
      </c>
      <c r="B1445" s="145" t="s">
        <v>165</v>
      </c>
      <c r="C1445">
        <v>1444</v>
      </c>
      <c r="D1445">
        <v>1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1</v>
      </c>
      <c r="N1445">
        <v>1</v>
      </c>
      <c r="O1445">
        <v>1</v>
      </c>
      <c r="P1445">
        <v>1</v>
      </c>
      <c r="Q1445">
        <v>1</v>
      </c>
      <c r="R1445">
        <v>1</v>
      </c>
      <c r="S1445">
        <v>1</v>
      </c>
    </row>
    <row r="1446" spans="1:19" x14ac:dyDescent="0.25">
      <c r="A1446" s="1">
        <v>0.76586324074074075</v>
      </c>
      <c r="B1446" s="145" t="s">
        <v>165</v>
      </c>
      <c r="C1446">
        <v>1445</v>
      </c>
      <c r="D1446">
        <v>1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1</v>
      </c>
      <c r="M1446">
        <v>1</v>
      </c>
      <c r="N1446">
        <v>1</v>
      </c>
      <c r="O1446">
        <v>1</v>
      </c>
      <c r="P1446">
        <v>1</v>
      </c>
      <c r="Q1446">
        <v>1</v>
      </c>
      <c r="R1446">
        <v>1</v>
      </c>
      <c r="S1446">
        <v>1</v>
      </c>
    </row>
    <row r="1447" spans="1:19" x14ac:dyDescent="0.25">
      <c r="A1447" s="1">
        <v>0.76586335648148152</v>
      </c>
      <c r="B1447" s="145" t="s">
        <v>2</v>
      </c>
      <c r="C1447">
        <v>1446</v>
      </c>
      <c r="D1447">
        <v>0</v>
      </c>
      <c r="E1447">
        <v>1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1</v>
      </c>
      <c r="M1447">
        <v>1</v>
      </c>
      <c r="N1447">
        <v>1</v>
      </c>
      <c r="O1447">
        <v>1</v>
      </c>
      <c r="P1447">
        <v>1</v>
      </c>
      <c r="Q1447">
        <v>1</v>
      </c>
      <c r="R1447">
        <v>1</v>
      </c>
      <c r="S1447">
        <v>1</v>
      </c>
    </row>
    <row r="1448" spans="1:19" x14ac:dyDescent="0.25">
      <c r="A1448" s="1">
        <v>0.76586347222222217</v>
      </c>
      <c r="B1448" s="145" t="s">
        <v>165</v>
      </c>
      <c r="C1448">
        <v>1447</v>
      </c>
      <c r="D1448">
        <v>1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1</v>
      </c>
      <c r="N1448">
        <v>1</v>
      </c>
      <c r="O1448">
        <v>1</v>
      </c>
      <c r="P1448">
        <v>1</v>
      </c>
      <c r="Q1448">
        <v>1</v>
      </c>
      <c r="R1448">
        <v>1</v>
      </c>
      <c r="S1448">
        <v>1</v>
      </c>
    </row>
    <row r="1449" spans="1:19" x14ac:dyDescent="0.25">
      <c r="A1449" s="1">
        <v>0.76586358796296294</v>
      </c>
      <c r="B1449" s="145" t="s">
        <v>165</v>
      </c>
      <c r="C1449">
        <v>1448</v>
      </c>
      <c r="D1449">
        <v>1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1</v>
      </c>
      <c r="M1449">
        <v>1</v>
      </c>
      <c r="N1449">
        <v>1</v>
      </c>
      <c r="O1449">
        <v>1</v>
      </c>
      <c r="P1449">
        <v>1</v>
      </c>
      <c r="Q1449">
        <v>1</v>
      </c>
      <c r="R1449">
        <v>1</v>
      </c>
      <c r="S1449">
        <v>1</v>
      </c>
    </row>
    <row r="1450" spans="1:19" x14ac:dyDescent="0.25">
      <c r="A1450" s="1">
        <v>0.76586370370370371</v>
      </c>
      <c r="B1450" s="145" t="s">
        <v>165</v>
      </c>
      <c r="C1450">
        <v>1449</v>
      </c>
      <c r="D1450">
        <v>1</v>
      </c>
      <c r="E1450">
        <v>1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</row>
    <row r="1451" spans="1:19" x14ac:dyDescent="0.25">
      <c r="A1451" s="1">
        <v>0.76586381944444448</v>
      </c>
      <c r="B1451" s="145" t="s">
        <v>165</v>
      </c>
      <c r="C1451">
        <v>1450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</row>
    <row r="1452" spans="1:19" x14ac:dyDescent="0.25">
      <c r="A1452" s="1">
        <v>0.76586393518518514</v>
      </c>
      <c r="B1452" s="145" t="s">
        <v>165</v>
      </c>
      <c r="C1452">
        <v>1451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1</v>
      </c>
      <c r="M1452">
        <v>1</v>
      </c>
      <c r="N1452">
        <v>1</v>
      </c>
      <c r="O1452">
        <v>1</v>
      </c>
      <c r="P1452">
        <v>1</v>
      </c>
      <c r="Q1452">
        <v>1</v>
      </c>
      <c r="R1452">
        <v>1</v>
      </c>
      <c r="S1452">
        <v>1</v>
      </c>
    </row>
    <row r="1453" spans="1:19" x14ac:dyDescent="0.25">
      <c r="A1453" s="1">
        <v>0.76586405092592591</v>
      </c>
      <c r="B1453" s="145" t="s">
        <v>2</v>
      </c>
      <c r="C1453">
        <v>1452</v>
      </c>
      <c r="D1453">
        <v>0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1</v>
      </c>
      <c r="M1453">
        <v>1</v>
      </c>
      <c r="N1453">
        <v>1</v>
      </c>
      <c r="O1453">
        <v>1</v>
      </c>
      <c r="P1453">
        <v>1</v>
      </c>
      <c r="Q1453">
        <v>1</v>
      </c>
      <c r="R1453">
        <v>1</v>
      </c>
      <c r="S1453">
        <v>1</v>
      </c>
    </row>
    <row r="1454" spans="1:19" x14ac:dyDescent="0.25">
      <c r="A1454" s="1">
        <v>0.76586416666666668</v>
      </c>
      <c r="B1454" s="145" t="s">
        <v>165</v>
      </c>
      <c r="C1454">
        <v>1453</v>
      </c>
      <c r="D1454">
        <v>1</v>
      </c>
      <c r="E1454">
        <v>1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1</v>
      </c>
    </row>
    <row r="1455" spans="1:19" x14ac:dyDescent="0.25">
      <c r="A1455" s="1">
        <v>0.76586428240740745</v>
      </c>
      <c r="B1455" s="145" t="s">
        <v>165</v>
      </c>
      <c r="C1455">
        <v>1454</v>
      </c>
      <c r="D1455">
        <v>1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1</v>
      </c>
      <c r="N1455">
        <v>1</v>
      </c>
      <c r="O1455">
        <v>1</v>
      </c>
      <c r="P1455">
        <v>1</v>
      </c>
      <c r="Q1455">
        <v>1</v>
      </c>
      <c r="R1455">
        <v>1</v>
      </c>
      <c r="S1455">
        <v>1</v>
      </c>
    </row>
    <row r="1456" spans="1:19" x14ac:dyDescent="0.25">
      <c r="A1456" s="1">
        <v>0.76586439814814811</v>
      </c>
      <c r="B1456" s="145" t="s">
        <v>165</v>
      </c>
      <c r="C1456">
        <v>1455</v>
      </c>
      <c r="D1456">
        <v>1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1</v>
      </c>
      <c r="O1456">
        <v>1</v>
      </c>
      <c r="P1456">
        <v>1</v>
      </c>
      <c r="Q1456">
        <v>1</v>
      </c>
      <c r="R1456">
        <v>1</v>
      </c>
      <c r="S1456">
        <v>1</v>
      </c>
    </row>
    <row r="1457" spans="1:19" x14ac:dyDescent="0.25">
      <c r="A1457" s="1">
        <v>0.76586451388888888</v>
      </c>
      <c r="B1457" s="145" t="s">
        <v>165</v>
      </c>
      <c r="C1457">
        <v>1456</v>
      </c>
      <c r="D1457">
        <v>1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</v>
      </c>
      <c r="M1457">
        <v>1</v>
      </c>
      <c r="N1457">
        <v>1</v>
      </c>
      <c r="O1457">
        <v>1</v>
      </c>
      <c r="P1457">
        <v>1</v>
      </c>
      <c r="Q1457">
        <v>1</v>
      </c>
      <c r="R1457">
        <v>1</v>
      </c>
      <c r="S1457">
        <v>1</v>
      </c>
    </row>
    <row r="1458" spans="1:19" x14ac:dyDescent="0.25">
      <c r="A1458" s="1">
        <v>0.76586474537037041</v>
      </c>
      <c r="B1458" s="145" t="s">
        <v>2</v>
      </c>
      <c r="C1458">
        <v>1457</v>
      </c>
      <c r="D1458">
        <v>0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</row>
    <row r="1459" spans="1:19" x14ac:dyDescent="0.25">
      <c r="A1459" s="1">
        <v>0.76586486111111107</v>
      </c>
      <c r="B1459" s="145" t="s">
        <v>165</v>
      </c>
      <c r="C1459">
        <v>1458</v>
      </c>
      <c r="D1459">
        <v>1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1</v>
      </c>
      <c r="M1459">
        <v>1</v>
      </c>
      <c r="N1459">
        <v>1</v>
      </c>
      <c r="O1459">
        <v>1</v>
      </c>
      <c r="P1459">
        <v>1</v>
      </c>
      <c r="Q1459">
        <v>1</v>
      </c>
      <c r="R1459">
        <v>1</v>
      </c>
      <c r="S1459">
        <v>1</v>
      </c>
    </row>
    <row r="1460" spans="1:19" x14ac:dyDescent="0.25">
      <c r="A1460" s="1">
        <v>0.76586497685185184</v>
      </c>
      <c r="B1460" s="145" t="s">
        <v>165</v>
      </c>
      <c r="C1460">
        <v>1459</v>
      </c>
      <c r="D1460">
        <v>1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1</v>
      </c>
      <c r="M1460">
        <v>1</v>
      </c>
      <c r="N1460">
        <v>1</v>
      </c>
      <c r="O1460">
        <v>1</v>
      </c>
      <c r="P1460">
        <v>1</v>
      </c>
      <c r="Q1460">
        <v>1</v>
      </c>
      <c r="R1460">
        <v>1</v>
      </c>
      <c r="S1460">
        <v>1</v>
      </c>
    </row>
    <row r="1461" spans="1:19" x14ac:dyDescent="0.25">
      <c r="A1461" s="1">
        <v>0.76586509259259261</v>
      </c>
      <c r="B1461" s="145" t="s">
        <v>165</v>
      </c>
      <c r="C1461">
        <v>1460</v>
      </c>
      <c r="D1461">
        <v>1</v>
      </c>
      <c r="E1461">
        <v>1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</row>
    <row r="1462" spans="1:19" x14ac:dyDescent="0.25">
      <c r="A1462" s="1">
        <v>0.76586520833333338</v>
      </c>
      <c r="B1462" s="145" t="s">
        <v>165</v>
      </c>
      <c r="C1462">
        <v>1461</v>
      </c>
      <c r="D1462">
        <v>1</v>
      </c>
      <c r="E1462">
        <v>1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</row>
    <row r="1463" spans="1:19" x14ac:dyDescent="0.25">
      <c r="A1463" s="1">
        <v>0.76586532407407404</v>
      </c>
      <c r="B1463" s="145" t="s">
        <v>165</v>
      </c>
      <c r="C1463">
        <v>1462</v>
      </c>
      <c r="D1463">
        <v>1</v>
      </c>
      <c r="E1463">
        <v>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1</v>
      </c>
      <c r="M1463">
        <v>1</v>
      </c>
      <c r="N1463">
        <v>1</v>
      </c>
      <c r="O1463">
        <v>1</v>
      </c>
      <c r="P1463">
        <v>1</v>
      </c>
      <c r="Q1463">
        <v>1</v>
      </c>
      <c r="R1463">
        <v>1</v>
      </c>
      <c r="S1463">
        <v>1</v>
      </c>
    </row>
    <row r="1464" spans="1:19" x14ac:dyDescent="0.25">
      <c r="A1464" s="1">
        <v>0.76586542824074078</v>
      </c>
      <c r="B1464" s="145" t="s">
        <v>2</v>
      </c>
      <c r="C1464">
        <v>1463</v>
      </c>
      <c r="D1464">
        <v>0</v>
      </c>
      <c r="E1464">
        <v>1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1</v>
      </c>
      <c r="N1464">
        <v>1</v>
      </c>
      <c r="O1464">
        <v>1</v>
      </c>
      <c r="P1464">
        <v>1</v>
      </c>
      <c r="Q1464">
        <v>1</v>
      </c>
      <c r="R1464">
        <v>1</v>
      </c>
      <c r="S1464">
        <v>1</v>
      </c>
    </row>
    <row r="1465" spans="1:19" x14ac:dyDescent="0.25">
      <c r="A1465" s="1">
        <v>0.76586554398148143</v>
      </c>
      <c r="B1465" s="145" t="s">
        <v>165</v>
      </c>
      <c r="C1465">
        <v>1464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1</v>
      </c>
      <c r="O1465">
        <v>1</v>
      </c>
      <c r="P1465">
        <v>1</v>
      </c>
      <c r="Q1465">
        <v>1</v>
      </c>
      <c r="R1465">
        <v>1</v>
      </c>
      <c r="S1465">
        <v>1</v>
      </c>
    </row>
    <row r="1466" spans="1:19" x14ac:dyDescent="0.25">
      <c r="A1466" s="1">
        <v>0.7658656597222222</v>
      </c>
      <c r="B1466" s="145" t="s">
        <v>165</v>
      </c>
      <c r="C1466">
        <v>1465</v>
      </c>
      <c r="D1466">
        <v>1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1</v>
      </c>
      <c r="N1466">
        <v>1</v>
      </c>
      <c r="O1466">
        <v>1</v>
      </c>
      <c r="P1466">
        <v>1</v>
      </c>
      <c r="Q1466">
        <v>1</v>
      </c>
      <c r="R1466">
        <v>1</v>
      </c>
      <c r="S1466">
        <v>1</v>
      </c>
    </row>
    <row r="1467" spans="1:19" x14ac:dyDescent="0.25">
      <c r="A1467" s="1">
        <v>0.76586577546296297</v>
      </c>
      <c r="B1467" s="145" t="s">
        <v>165</v>
      </c>
      <c r="C1467">
        <v>1466</v>
      </c>
      <c r="D1467">
        <v>1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1</v>
      </c>
      <c r="N1467">
        <v>1</v>
      </c>
      <c r="O1467">
        <v>1</v>
      </c>
      <c r="P1467">
        <v>1</v>
      </c>
      <c r="Q1467">
        <v>1</v>
      </c>
      <c r="R1467">
        <v>1</v>
      </c>
      <c r="S1467">
        <v>1</v>
      </c>
    </row>
    <row r="1468" spans="1:19" x14ac:dyDescent="0.25">
      <c r="A1468" s="1">
        <v>0.76586589120370374</v>
      </c>
      <c r="B1468" s="145" t="s">
        <v>165</v>
      </c>
      <c r="C1468">
        <v>1467</v>
      </c>
      <c r="D1468">
        <v>1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1</v>
      </c>
      <c r="N1468">
        <v>1</v>
      </c>
      <c r="O1468">
        <v>1</v>
      </c>
      <c r="P1468">
        <v>1</v>
      </c>
      <c r="Q1468">
        <v>1</v>
      </c>
      <c r="R1468">
        <v>1</v>
      </c>
      <c r="S1468">
        <v>1</v>
      </c>
    </row>
    <row r="1469" spans="1:19" x14ac:dyDescent="0.25">
      <c r="A1469" s="1">
        <v>0.7658660069444444</v>
      </c>
      <c r="B1469" s="145" t="s">
        <v>2</v>
      </c>
      <c r="C1469">
        <v>1468</v>
      </c>
      <c r="D1469">
        <v>0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1</v>
      </c>
      <c r="N1469">
        <v>1</v>
      </c>
      <c r="O1469">
        <v>1</v>
      </c>
      <c r="P1469">
        <v>1</v>
      </c>
      <c r="Q1469">
        <v>1</v>
      </c>
      <c r="R1469">
        <v>1</v>
      </c>
      <c r="S1469">
        <v>1</v>
      </c>
    </row>
    <row r="1470" spans="1:19" x14ac:dyDescent="0.25">
      <c r="A1470" s="1">
        <v>0.76586612268518517</v>
      </c>
      <c r="B1470" s="145" t="s">
        <v>2</v>
      </c>
      <c r="C1470">
        <v>1469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1</v>
      </c>
      <c r="N1470">
        <v>1</v>
      </c>
      <c r="O1470">
        <v>1</v>
      </c>
      <c r="P1470">
        <v>1</v>
      </c>
      <c r="Q1470">
        <v>1</v>
      </c>
      <c r="R1470">
        <v>1</v>
      </c>
      <c r="S1470">
        <v>1</v>
      </c>
    </row>
    <row r="1471" spans="1:19" x14ac:dyDescent="0.25">
      <c r="A1471" s="1">
        <v>0.76586623842592594</v>
      </c>
      <c r="B1471" s="145" t="s">
        <v>165</v>
      </c>
      <c r="C1471">
        <v>1470</v>
      </c>
      <c r="D1471">
        <v>1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1</v>
      </c>
      <c r="N1471">
        <v>1</v>
      </c>
      <c r="O1471">
        <v>1</v>
      </c>
      <c r="P1471">
        <v>1</v>
      </c>
      <c r="Q1471">
        <v>1</v>
      </c>
      <c r="R1471">
        <v>1</v>
      </c>
      <c r="S1471">
        <v>1</v>
      </c>
    </row>
    <row r="1472" spans="1:19" x14ac:dyDescent="0.25">
      <c r="A1472" s="1">
        <v>0.76586635416666671</v>
      </c>
      <c r="B1472" s="145" t="s">
        <v>165</v>
      </c>
      <c r="C1472">
        <v>1471</v>
      </c>
      <c r="D1472">
        <v>1</v>
      </c>
      <c r="E1472">
        <v>1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1</v>
      </c>
      <c r="O1472">
        <v>1</v>
      </c>
      <c r="P1472">
        <v>1</v>
      </c>
      <c r="Q1472">
        <v>1</v>
      </c>
      <c r="R1472">
        <v>1</v>
      </c>
      <c r="S1472">
        <v>1</v>
      </c>
    </row>
    <row r="1473" spans="1:19" x14ac:dyDescent="0.25">
      <c r="A1473" s="1">
        <v>0.76586646990740737</v>
      </c>
      <c r="B1473" s="145" t="s">
        <v>165</v>
      </c>
      <c r="C1473">
        <v>1472</v>
      </c>
      <c r="D1473">
        <v>1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1</v>
      </c>
      <c r="N1473">
        <v>1</v>
      </c>
      <c r="O1473">
        <v>1</v>
      </c>
      <c r="P1473">
        <v>1</v>
      </c>
      <c r="Q1473">
        <v>1</v>
      </c>
      <c r="R1473">
        <v>1</v>
      </c>
      <c r="S1473">
        <v>1</v>
      </c>
    </row>
    <row r="1474" spans="1:19" x14ac:dyDescent="0.25">
      <c r="A1474" s="1">
        <v>0.76586658564814813</v>
      </c>
      <c r="B1474" s="145" t="s">
        <v>165</v>
      </c>
      <c r="C1474">
        <v>1473</v>
      </c>
      <c r="D1474">
        <v>1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1</v>
      </c>
      <c r="M1474">
        <v>1</v>
      </c>
      <c r="N1474">
        <v>1</v>
      </c>
      <c r="O1474">
        <v>1</v>
      </c>
      <c r="P1474">
        <v>1</v>
      </c>
      <c r="Q1474">
        <v>1</v>
      </c>
      <c r="R1474">
        <v>1</v>
      </c>
      <c r="S1474">
        <v>1</v>
      </c>
    </row>
    <row r="1475" spans="1:19" x14ac:dyDescent="0.25">
      <c r="A1475" s="1">
        <v>0.76586671296296294</v>
      </c>
      <c r="B1475" s="145" t="s">
        <v>2</v>
      </c>
      <c r="C1475">
        <v>1474</v>
      </c>
      <c r="D1475">
        <v>0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1</v>
      </c>
      <c r="O1475">
        <v>1</v>
      </c>
      <c r="P1475">
        <v>1</v>
      </c>
      <c r="Q1475">
        <v>1</v>
      </c>
      <c r="R1475">
        <v>1</v>
      </c>
      <c r="S1475">
        <v>1</v>
      </c>
    </row>
    <row r="1476" spans="1:19" x14ac:dyDescent="0.25">
      <c r="A1476" s="1">
        <v>0.76586681712962967</v>
      </c>
      <c r="B1476" s="145" t="s">
        <v>2</v>
      </c>
      <c r="C1476">
        <v>1475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1</v>
      </c>
      <c r="M1476">
        <v>1</v>
      </c>
      <c r="N1476">
        <v>1</v>
      </c>
      <c r="O1476">
        <v>1</v>
      </c>
      <c r="P1476">
        <v>1</v>
      </c>
      <c r="Q1476">
        <v>1</v>
      </c>
      <c r="R1476">
        <v>1</v>
      </c>
      <c r="S1476">
        <v>1</v>
      </c>
    </row>
    <row r="1477" spans="1:19" x14ac:dyDescent="0.25">
      <c r="A1477" s="1">
        <v>0.76586693287037033</v>
      </c>
      <c r="B1477" s="145" t="s">
        <v>165</v>
      </c>
      <c r="C1477">
        <v>1476</v>
      </c>
      <c r="D1477">
        <v>1</v>
      </c>
      <c r="E1477">
        <v>1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1</v>
      </c>
      <c r="N1477">
        <v>1</v>
      </c>
      <c r="O1477">
        <v>1</v>
      </c>
      <c r="P1477">
        <v>1</v>
      </c>
      <c r="Q1477">
        <v>1</v>
      </c>
      <c r="R1477">
        <v>1</v>
      </c>
      <c r="S1477">
        <v>1</v>
      </c>
    </row>
    <row r="1478" spans="1:19" x14ac:dyDescent="0.25">
      <c r="A1478" s="1">
        <v>0.7658670486111111</v>
      </c>
      <c r="B1478" s="145" t="s">
        <v>165</v>
      </c>
      <c r="C1478">
        <v>1477</v>
      </c>
      <c r="D1478">
        <v>1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1</v>
      </c>
      <c r="M1478">
        <v>1</v>
      </c>
      <c r="N1478">
        <v>1</v>
      </c>
      <c r="O1478">
        <v>1</v>
      </c>
      <c r="P1478">
        <v>1</v>
      </c>
      <c r="Q1478">
        <v>1</v>
      </c>
      <c r="R1478">
        <v>1</v>
      </c>
      <c r="S1478">
        <v>1</v>
      </c>
    </row>
    <row r="1479" spans="1:19" x14ac:dyDescent="0.25">
      <c r="A1479" s="1">
        <v>0.76586716435185187</v>
      </c>
      <c r="B1479" s="145" t="s">
        <v>165</v>
      </c>
      <c r="C1479">
        <v>1478</v>
      </c>
      <c r="D1479">
        <v>1</v>
      </c>
      <c r="E1479">
        <v>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1</v>
      </c>
      <c r="O1479">
        <v>1</v>
      </c>
      <c r="P1479">
        <v>1</v>
      </c>
      <c r="Q1479">
        <v>1</v>
      </c>
      <c r="R1479">
        <v>1</v>
      </c>
      <c r="S1479">
        <v>1</v>
      </c>
    </row>
    <row r="1480" spans="1:19" x14ac:dyDescent="0.25">
      <c r="A1480" s="1">
        <v>0.76586728009259264</v>
      </c>
      <c r="B1480" s="145" t="s">
        <v>165</v>
      </c>
      <c r="C1480">
        <v>1479</v>
      </c>
      <c r="D1480">
        <v>1</v>
      </c>
      <c r="E1480">
        <v>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1</v>
      </c>
      <c r="N1480">
        <v>1</v>
      </c>
      <c r="O1480">
        <v>1</v>
      </c>
      <c r="P1480">
        <v>1</v>
      </c>
      <c r="Q1480">
        <v>1</v>
      </c>
      <c r="R1480">
        <v>1</v>
      </c>
      <c r="S1480">
        <v>1</v>
      </c>
    </row>
    <row r="1481" spans="1:19" x14ac:dyDescent="0.25">
      <c r="A1481" s="1">
        <v>0.7658673958333333</v>
      </c>
      <c r="B1481" s="145" t="s">
        <v>2</v>
      </c>
      <c r="C1481">
        <v>1480</v>
      </c>
      <c r="D1481">
        <v>0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1</v>
      </c>
      <c r="N1481">
        <v>1</v>
      </c>
      <c r="O1481">
        <v>1</v>
      </c>
      <c r="P1481">
        <v>1</v>
      </c>
      <c r="Q1481">
        <v>1</v>
      </c>
      <c r="R1481">
        <v>1</v>
      </c>
      <c r="S1481">
        <v>1</v>
      </c>
    </row>
    <row r="1482" spans="1:19" x14ac:dyDescent="0.25">
      <c r="A1482" s="1">
        <v>0.76586751157407407</v>
      </c>
      <c r="B1482" s="145" t="s">
        <v>2</v>
      </c>
      <c r="C1482">
        <v>1481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1</v>
      </c>
      <c r="M1482">
        <v>1</v>
      </c>
      <c r="N1482">
        <v>1</v>
      </c>
      <c r="O1482">
        <v>1</v>
      </c>
      <c r="P1482">
        <v>1</v>
      </c>
      <c r="Q1482">
        <v>1</v>
      </c>
      <c r="R1482">
        <v>1</v>
      </c>
      <c r="S1482">
        <v>1</v>
      </c>
    </row>
    <row r="1483" spans="1:19" x14ac:dyDescent="0.25">
      <c r="A1483" s="1">
        <v>0.76586762731481484</v>
      </c>
      <c r="B1483" s="145" t="s">
        <v>165</v>
      </c>
      <c r="C1483">
        <v>1482</v>
      </c>
      <c r="D1483">
        <v>1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1</v>
      </c>
      <c r="N1483">
        <v>1</v>
      </c>
      <c r="O1483">
        <v>1</v>
      </c>
      <c r="P1483">
        <v>1</v>
      </c>
      <c r="Q1483">
        <v>1</v>
      </c>
      <c r="R1483">
        <v>1</v>
      </c>
      <c r="S1483">
        <v>1</v>
      </c>
    </row>
    <row r="1484" spans="1:19" x14ac:dyDescent="0.25">
      <c r="A1484" s="1">
        <v>0.76586774305555561</v>
      </c>
      <c r="B1484" s="145" t="s">
        <v>165</v>
      </c>
      <c r="C1484">
        <v>1483</v>
      </c>
      <c r="D1484">
        <v>1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1</v>
      </c>
      <c r="N1484">
        <v>1</v>
      </c>
      <c r="O1484">
        <v>1</v>
      </c>
      <c r="P1484">
        <v>1</v>
      </c>
      <c r="Q1484">
        <v>1</v>
      </c>
      <c r="R1484">
        <v>1</v>
      </c>
      <c r="S1484">
        <v>1</v>
      </c>
    </row>
    <row r="1485" spans="1:19" x14ac:dyDescent="0.25">
      <c r="A1485" s="1">
        <v>0.76586785879629626</v>
      </c>
      <c r="B1485" s="145" t="s">
        <v>165</v>
      </c>
      <c r="C1485">
        <v>1484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1</v>
      </c>
      <c r="N1485">
        <v>1</v>
      </c>
      <c r="O1485">
        <v>1</v>
      </c>
      <c r="P1485">
        <v>1</v>
      </c>
      <c r="Q1485">
        <v>1</v>
      </c>
      <c r="R1485">
        <v>1</v>
      </c>
      <c r="S1485">
        <v>1</v>
      </c>
    </row>
    <row r="1486" spans="1:19" x14ac:dyDescent="0.25">
      <c r="A1486" s="1">
        <v>0.76586797453703703</v>
      </c>
      <c r="B1486" s="145" t="s">
        <v>165</v>
      </c>
      <c r="C1486">
        <v>1485</v>
      </c>
      <c r="D1486">
        <v>1</v>
      </c>
      <c r="E1486">
        <v>1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1</v>
      </c>
      <c r="N1486">
        <v>1</v>
      </c>
      <c r="O1486">
        <v>1</v>
      </c>
      <c r="P1486">
        <v>1</v>
      </c>
      <c r="Q1486">
        <v>1</v>
      </c>
      <c r="R1486">
        <v>1</v>
      </c>
      <c r="S1486">
        <v>1</v>
      </c>
    </row>
    <row r="1487" spans="1:19" x14ac:dyDescent="0.25">
      <c r="A1487" s="1">
        <v>0.7658680902777778</v>
      </c>
      <c r="B1487" s="145" t="s">
        <v>2</v>
      </c>
      <c r="C1487">
        <v>1486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1</v>
      </c>
      <c r="N1487">
        <v>1</v>
      </c>
      <c r="O1487">
        <v>1</v>
      </c>
      <c r="P1487">
        <v>1</v>
      </c>
      <c r="Q1487">
        <v>1</v>
      </c>
      <c r="R1487">
        <v>1</v>
      </c>
      <c r="S1487">
        <v>1</v>
      </c>
    </row>
    <row r="1488" spans="1:19" x14ac:dyDescent="0.25">
      <c r="A1488" s="1">
        <v>0.76586820601851857</v>
      </c>
      <c r="B1488" s="145" t="s">
        <v>2</v>
      </c>
      <c r="C1488">
        <v>1487</v>
      </c>
      <c r="D1488">
        <v>0</v>
      </c>
      <c r="E1488">
        <v>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</v>
      </c>
      <c r="N1488">
        <v>1</v>
      </c>
      <c r="O1488">
        <v>1</v>
      </c>
      <c r="P1488">
        <v>1</v>
      </c>
      <c r="Q1488">
        <v>1</v>
      </c>
      <c r="R1488">
        <v>1</v>
      </c>
      <c r="S1488">
        <v>1</v>
      </c>
    </row>
    <row r="1489" spans="1:19" x14ac:dyDescent="0.25">
      <c r="A1489" s="1">
        <v>0.76586832175925923</v>
      </c>
      <c r="B1489" s="145" t="s">
        <v>165</v>
      </c>
      <c r="C1489">
        <v>1488</v>
      </c>
      <c r="D1489">
        <v>1</v>
      </c>
      <c r="E1489">
        <v>1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1</v>
      </c>
      <c r="N1489">
        <v>1</v>
      </c>
      <c r="O1489">
        <v>1</v>
      </c>
      <c r="P1489">
        <v>1</v>
      </c>
      <c r="Q1489">
        <v>1</v>
      </c>
      <c r="R1489">
        <v>1</v>
      </c>
      <c r="S1489">
        <v>1</v>
      </c>
    </row>
    <row r="1490" spans="1:19" x14ac:dyDescent="0.25">
      <c r="A1490" s="1">
        <v>0.7658684375</v>
      </c>
      <c r="B1490" s="145" t="s">
        <v>165</v>
      </c>
      <c r="C1490">
        <v>1489</v>
      </c>
      <c r="D1490">
        <v>1</v>
      </c>
      <c r="E1490">
        <v>1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1</v>
      </c>
      <c r="N1490">
        <v>1</v>
      </c>
      <c r="O1490">
        <v>1</v>
      </c>
      <c r="P1490">
        <v>1</v>
      </c>
      <c r="Q1490">
        <v>1</v>
      </c>
      <c r="R1490">
        <v>1</v>
      </c>
      <c r="S1490">
        <v>1</v>
      </c>
    </row>
    <row r="1491" spans="1:19" x14ac:dyDescent="0.25">
      <c r="A1491" s="1">
        <v>0.76586855324074077</v>
      </c>
      <c r="B1491" s="145" t="s">
        <v>165</v>
      </c>
      <c r="C1491">
        <v>1490</v>
      </c>
      <c r="D1491">
        <v>1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1</v>
      </c>
      <c r="O1491">
        <v>1</v>
      </c>
      <c r="P1491">
        <v>1</v>
      </c>
      <c r="Q1491">
        <v>1</v>
      </c>
      <c r="R1491">
        <v>1</v>
      </c>
      <c r="S1491">
        <v>1</v>
      </c>
    </row>
    <row r="1492" spans="1:19" x14ac:dyDescent="0.25">
      <c r="A1492" s="1">
        <v>0.76586866898148143</v>
      </c>
      <c r="B1492" s="145" t="s">
        <v>165</v>
      </c>
      <c r="C1492">
        <v>1491</v>
      </c>
      <c r="D1492">
        <v>1</v>
      </c>
      <c r="E1492">
        <v>1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1</v>
      </c>
      <c r="M1492">
        <v>1</v>
      </c>
      <c r="N1492">
        <v>1</v>
      </c>
      <c r="O1492">
        <v>1</v>
      </c>
      <c r="P1492">
        <v>1</v>
      </c>
      <c r="Q1492">
        <v>1</v>
      </c>
      <c r="R1492">
        <v>1</v>
      </c>
      <c r="S1492">
        <v>1</v>
      </c>
    </row>
    <row r="1493" spans="1:19" x14ac:dyDescent="0.25">
      <c r="A1493" s="1">
        <v>0.7658687847222222</v>
      </c>
      <c r="B1493" s="145" t="s">
        <v>2</v>
      </c>
      <c r="C1493">
        <v>1492</v>
      </c>
      <c r="D1493">
        <v>0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1</v>
      </c>
      <c r="N1493">
        <v>1</v>
      </c>
      <c r="O1493">
        <v>1</v>
      </c>
      <c r="P1493">
        <v>1</v>
      </c>
      <c r="Q1493">
        <v>1</v>
      </c>
      <c r="R1493">
        <v>1</v>
      </c>
      <c r="S1493">
        <v>1</v>
      </c>
    </row>
    <row r="1494" spans="1:19" x14ac:dyDescent="0.25">
      <c r="A1494" s="1">
        <v>0.76586890046296296</v>
      </c>
      <c r="B1494" s="145" t="s">
        <v>2</v>
      </c>
      <c r="C1494">
        <v>1493</v>
      </c>
      <c r="D1494">
        <v>0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1</v>
      </c>
      <c r="M1494">
        <v>1</v>
      </c>
      <c r="N1494">
        <v>1</v>
      </c>
      <c r="O1494">
        <v>1</v>
      </c>
      <c r="P1494">
        <v>1</v>
      </c>
      <c r="Q1494">
        <v>1</v>
      </c>
      <c r="R1494">
        <v>1</v>
      </c>
      <c r="S1494">
        <v>1</v>
      </c>
    </row>
    <row r="1495" spans="1:19" x14ac:dyDescent="0.25">
      <c r="A1495" s="1">
        <v>0.76586901620370373</v>
      </c>
      <c r="B1495" s="145" t="s">
        <v>165</v>
      </c>
      <c r="C1495">
        <v>1494</v>
      </c>
      <c r="D1495">
        <v>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1</v>
      </c>
      <c r="O1495">
        <v>1</v>
      </c>
      <c r="P1495">
        <v>1</v>
      </c>
      <c r="Q1495">
        <v>1</v>
      </c>
      <c r="R1495">
        <v>1</v>
      </c>
      <c r="S1495">
        <v>1</v>
      </c>
    </row>
    <row r="1496" spans="1:19" x14ac:dyDescent="0.25">
      <c r="A1496" s="1">
        <v>0.76586913194444439</v>
      </c>
      <c r="B1496" s="145" t="s">
        <v>165</v>
      </c>
      <c r="C1496">
        <v>1495</v>
      </c>
      <c r="D1496">
        <v>1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1</v>
      </c>
      <c r="M1496">
        <v>1</v>
      </c>
      <c r="N1496">
        <v>1</v>
      </c>
      <c r="O1496">
        <v>1</v>
      </c>
      <c r="P1496">
        <v>1</v>
      </c>
      <c r="Q1496">
        <v>1</v>
      </c>
      <c r="R1496">
        <v>1</v>
      </c>
      <c r="S1496">
        <v>1</v>
      </c>
    </row>
    <row r="1497" spans="1:19" x14ac:dyDescent="0.25">
      <c r="A1497" s="1">
        <v>0.76586924768518516</v>
      </c>
      <c r="B1497" s="145" t="s">
        <v>165</v>
      </c>
      <c r="C1497">
        <v>1496</v>
      </c>
      <c r="D1497">
        <v>1</v>
      </c>
      <c r="E1497">
        <v>1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1</v>
      </c>
      <c r="N1497">
        <v>1</v>
      </c>
      <c r="O1497">
        <v>1</v>
      </c>
      <c r="P1497">
        <v>1</v>
      </c>
      <c r="Q1497">
        <v>1</v>
      </c>
      <c r="R1497">
        <v>1</v>
      </c>
      <c r="S1497">
        <v>1</v>
      </c>
    </row>
    <row r="1498" spans="1:19" x14ac:dyDescent="0.25">
      <c r="A1498" s="1">
        <v>0.76586936342592593</v>
      </c>
      <c r="B1498" s="145" t="s">
        <v>165</v>
      </c>
      <c r="C1498">
        <v>1497</v>
      </c>
      <c r="D1498">
        <v>1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</row>
    <row r="1499" spans="1:19" x14ac:dyDescent="0.25">
      <c r="A1499" s="1">
        <v>0.7658694791666667</v>
      </c>
      <c r="B1499" s="145" t="s">
        <v>2</v>
      </c>
      <c r="C1499">
        <v>1498</v>
      </c>
      <c r="D1499">
        <v>0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1</v>
      </c>
      <c r="M1499">
        <v>1</v>
      </c>
      <c r="N1499">
        <v>1</v>
      </c>
      <c r="O1499">
        <v>1</v>
      </c>
      <c r="P1499">
        <v>1</v>
      </c>
      <c r="Q1499">
        <v>1</v>
      </c>
      <c r="R1499">
        <v>1</v>
      </c>
      <c r="S1499">
        <v>1</v>
      </c>
    </row>
    <row r="1500" spans="1:19" x14ac:dyDescent="0.25">
      <c r="A1500" s="1">
        <v>0.76586959490740736</v>
      </c>
      <c r="B1500" s="145" t="s">
        <v>2</v>
      </c>
      <c r="C1500">
        <v>1499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1</v>
      </c>
      <c r="N1500">
        <v>1</v>
      </c>
      <c r="O1500">
        <v>1</v>
      </c>
      <c r="P1500">
        <v>1</v>
      </c>
      <c r="Q1500">
        <v>1</v>
      </c>
      <c r="R1500">
        <v>1</v>
      </c>
      <c r="S1500">
        <v>1</v>
      </c>
    </row>
    <row r="1501" spans="1:19" x14ac:dyDescent="0.25">
      <c r="A1501" s="1">
        <v>0.76586971064814813</v>
      </c>
      <c r="B1501" s="145" t="s">
        <v>165</v>
      </c>
      <c r="C1501">
        <v>1500</v>
      </c>
      <c r="D1501">
        <v>1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</row>
    <row r="1502" spans="1:19" x14ac:dyDescent="0.25">
      <c r="A1502" s="1">
        <v>0.7658698263888889</v>
      </c>
      <c r="B1502" s="145" t="s">
        <v>165</v>
      </c>
      <c r="C1502">
        <v>1501</v>
      </c>
      <c r="D1502">
        <v>1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</row>
    <row r="1503" spans="1:19" x14ac:dyDescent="0.25">
      <c r="A1503" s="1">
        <v>0.76586994212962967</v>
      </c>
      <c r="B1503" s="145" t="s">
        <v>165</v>
      </c>
      <c r="C1503">
        <v>1502</v>
      </c>
      <c r="D1503">
        <v>1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1</v>
      </c>
      <c r="M1503">
        <v>1</v>
      </c>
      <c r="N1503">
        <v>1</v>
      </c>
      <c r="O1503">
        <v>1</v>
      </c>
      <c r="P1503">
        <v>1</v>
      </c>
      <c r="Q1503">
        <v>1</v>
      </c>
      <c r="R1503">
        <v>1</v>
      </c>
      <c r="S1503">
        <v>1</v>
      </c>
    </row>
    <row r="1504" spans="1:19" x14ac:dyDescent="0.25">
      <c r="A1504" s="1">
        <v>0.76587005787037032</v>
      </c>
      <c r="B1504" s="145" t="s">
        <v>165</v>
      </c>
      <c r="C1504">
        <v>1503</v>
      </c>
      <c r="D1504">
        <v>1</v>
      </c>
      <c r="E1504">
        <v>1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1</v>
      </c>
      <c r="N1504">
        <v>1</v>
      </c>
      <c r="O1504">
        <v>1</v>
      </c>
      <c r="P1504">
        <v>1</v>
      </c>
      <c r="Q1504">
        <v>1</v>
      </c>
      <c r="R1504">
        <v>1</v>
      </c>
      <c r="S1504">
        <v>1</v>
      </c>
    </row>
    <row r="1505" spans="1:19" x14ac:dyDescent="0.25">
      <c r="A1505" s="1">
        <v>0.76587017361111109</v>
      </c>
      <c r="B1505" s="145" t="s">
        <v>2</v>
      </c>
      <c r="C1505">
        <v>1504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1</v>
      </c>
      <c r="M1505">
        <v>1</v>
      </c>
      <c r="N1505">
        <v>1</v>
      </c>
      <c r="O1505">
        <v>1</v>
      </c>
      <c r="P1505">
        <v>1</v>
      </c>
      <c r="Q1505">
        <v>1</v>
      </c>
      <c r="R1505">
        <v>1</v>
      </c>
      <c r="S1505">
        <v>1</v>
      </c>
    </row>
    <row r="1506" spans="1:19" x14ac:dyDescent="0.25">
      <c r="A1506" s="1">
        <v>0.76587028935185186</v>
      </c>
      <c r="B1506" s="145" t="s">
        <v>2</v>
      </c>
      <c r="C1506">
        <v>1505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1</v>
      </c>
      <c r="N1506">
        <v>1</v>
      </c>
      <c r="O1506">
        <v>1</v>
      </c>
      <c r="P1506">
        <v>1</v>
      </c>
      <c r="Q1506">
        <v>1</v>
      </c>
      <c r="R1506">
        <v>1</v>
      </c>
      <c r="S1506">
        <v>1</v>
      </c>
    </row>
    <row r="1507" spans="1:19" x14ac:dyDescent="0.25">
      <c r="A1507" s="1">
        <v>0.76587040509259263</v>
      </c>
      <c r="B1507" s="145" t="s">
        <v>165</v>
      </c>
      <c r="C1507">
        <v>1506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1</v>
      </c>
      <c r="N1507">
        <v>1</v>
      </c>
      <c r="O1507">
        <v>1</v>
      </c>
      <c r="P1507">
        <v>1</v>
      </c>
      <c r="Q1507">
        <v>1</v>
      </c>
      <c r="R1507">
        <v>1</v>
      </c>
      <c r="S1507">
        <v>1</v>
      </c>
    </row>
    <row r="1508" spans="1:19" x14ac:dyDescent="0.25">
      <c r="A1508" s="1">
        <v>0.76587052083333329</v>
      </c>
      <c r="B1508" s="145" t="s">
        <v>165</v>
      </c>
      <c r="C1508">
        <v>1507</v>
      </c>
      <c r="D1508">
        <v>1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1</v>
      </c>
      <c r="N1508">
        <v>1</v>
      </c>
      <c r="O1508">
        <v>1</v>
      </c>
      <c r="P1508">
        <v>1</v>
      </c>
      <c r="Q1508">
        <v>1</v>
      </c>
      <c r="R1508">
        <v>1</v>
      </c>
      <c r="S1508">
        <v>1</v>
      </c>
    </row>
    <row r="1509" spans="1:19" x14ac:dyDescent="0.25">
      <c r="A1509" s="1">
        <v>0.76587063657407406</v>
      </c>
      <c r="B1509" s="145" t="s">
        <v>165</v>
      </c>
      <c r="C1509">
        <v>1508</v>
      </c>
      <c r="D1509">
        <v>1</v>
      </c>
      <c r="E1509">
        <v>1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1</v>
      </c>
      <c r="O1509">
        <v>1</v>
      </c>
      <c r="P1509">
        <v>1</v>
      </c>
      <c r="Q1509">
        <v>1</v>
      </c>
      <c r="R1509">
        <v>1</v>
      </c>
      <c r="S1509">
        <v>1</v>
      </c>
    </row>
    <row r="1510" spans="1:19" x14ac:dyDescent="0.25">
      <c r="A1510" s="1">
        <v>0.76587075231481483</v>
      </c>
      <c r="B1510" s="145" t="s">
        <v>165</v>
      </c>
      <c r="C1510">
        <v>1509</v>
      </c>
      <c r="D1510">
        <v>1</v>
      </c>
      <c r="E1510">
        <v>1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1</v>
      </c>
      <c r="N1510">
        <v>1</v>
      </c>
      <c r="O1510">
        <v>1</v>
      </c>
      <c r="P1510">
        <v>1</v>
      </c>
      <c r="Q1510">
        <v>1</v>
      </c>
      <c r="R1510">
        <v>1</v>
      </c>
      <c r="S1510">
        <v>1</v>
      </c>
    </row>
    <row r="1511" spans="1:19" x14ac:dyDescent="0.25">
      <c r="A1511" s="1">
        <v>0.7658708680555556</v>
      </c>
      <c r="B1511" s="145" t="s">
        <v>2</v>
      </c>
      <c r="C1511">
        <v>1510</v>
      </c>
      <c r="D1511">
        <v>0</v>
      </c>
      <c r="E1511">
        <v>1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1</v>
      </c>
      <c r="M1511">
        <v>1</v>
      </c>
      <c r="N1511">
        <v>1</v>
      </c>
      <c r="O1511">
        <v>1</v>
      </c>
      <c r="P1511">
        <v>1</v>
      </c>
      <c r="Q1511">
        <v>1</v>
      </c>
      <c r="R1511">
        <v>1</v>
      </c>
      <c r="S1511">
        <v>1</v>
      </c>
    </row>
    <row r="1512" spans="1:19" x14ac:dyDescent="0.25">
      <c r="A1512" s="1">
        <v>0.76587098379629626</v>
      </c>
      <c r="B1512" s="145" t="s">
        <v>2</v>
      </c>
      <c r="C1512">
        <v>1511</v>
      </c>
      <c r="D1512">
        <v>0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1</v>
      </c>
      <c r="M1512">
        <v>1</v>
      </c>
      <c r="N1512">
        <v>1</v>
      </c>
      <c r="O1512">
        <v>1</v>
      </c>
      <c r="P1512">
        <v>1</v>
      </c>
      <c r="Q1512">
        <v>1</v>
      </c>
      <c r="R1512">
        <v>1</v>
      </c>
      <c r="S1512">
        <v>1</v>
      </c>
    </row>
    <row r="1513" spans="1:19" x14ac:dyDescent="0.25">
      <c r="A1513" s="1">
        <v>0.76587109953703703</v>
      </c>
      <c r="B1513" s="145" t="s">
        <v>165</v>
      </c>
      <c r="C1513">
        <v>1512</v>
      </c>
      <c r="D1513">
        <v>1</v>
      </c>
      <c r="E1513">
        <v>1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1</v>
      </c>
      <c r="N1513">
        <v>1</v>
      </c>
      <c r="O1513">
        <v>1</v>
      </c>
      <c r="P1513">
        <v>1</v>
      </c>
      <c r="Q1513">
        <v>1</v>
      </c>
      <c r="R1513">
        <v>1</v>
      </c>
      <c r="S1513">
        <v>1</v>
      </c>
    </row>
    <row r="1514" spans="1:19" x14ac:dyDescent="0.25">
      <c r="A1514" s="1">
        <v>0.76587121527777779</v>
      </c>
      <c r="B1514" s="145" t="s">
        <v>165</v>
      </c>
      <c r="C1514">
        <v>1513</v>
      </c>
      <c r="D1514">
        <v>1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1</v>
      </c>
      <c r="N1514">
        <v>1</v>
      </c>
      <c r="O1514">
        <v>1</v>
      </c>
      <c r="P1514">
        <v>1</v>
      </c>
      <c r="Q1514">
        <v>1</v>
      </c>
      <c r="R1514">
        <v>1</v>
      </c>
      <c r="S1514">
        <v>1</v>
      </c>
    </row>
    <row r="1515" spans="1:19" x14ac:dyDescent="0.25">
      <c r="A1515" s="1">
        <v>0.76587133101851856</v>
      </c>
      <c r="B1515" s="145" t="s">
        <v>165</v>
      </c>
      <c r="C1515">
        <v>1514</v>
      </c>
      <c r="D1515">
        <v>1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1</v>
      </c>
      <c r="O1515">
        <v>1</v>
      </c>
      <c r="P1515">
        <v>1</v>
      </c>
      <c r="Q1515">
        <v>1</v>
      </c>
      <c r="R1515">
        <v>1</v>
      </c>
      <c r="S1515">
        <v>1</v>
      </c>
    </row>
    <row r="1516" spans="1:19" x14ac:dyDescent="0.25">
      <c r="A1516" s="1">
        <v>0.76587144675925922</v>
      </c>
      <c r="B1516" s="145" t="s">
        <v>165</v>
      </c>
      <c r="C1516">
        <v>1515</v>
      </c>
      <c r="D1516">
        <v>1</v>
      </c>
      <c r="E1516">
        <v>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1</v>
      </c>
      <c r="N1516">
        <v>1</v>
      </c>
      <c r="O1516">
        <v>1</v>
      </c>
      <c r="P1516">
        <v>1</v>
      </c>
      <c r="Q1516">
        <v>1</v>
      </c>
      <c r="R1516">
        <v>1</v>
      </c>
      <c r="S1516">
        <v>1</v>
      </c>
    </row>
    <row r="1517" spans="1:19" x14ac:dyDescent="0.25">
      <c r="A1517" s="1">
        <v>0.76587156249999999</v>
      </c>
      <c r="B1517" s="145" t="s">
        <v>2</v>
      </c>
      <c r="C1517">
        <v>1516</v>
      </c>
      <c r="D1517">
        <v>0</v>
      </c>
      <c r="E1517">
        <v>1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1</v>
      </c>
      <c r="N1517">
        <v>1</v>
      </c>
      <c r="O1517">
        <v>1</v>
      </c>
      <c r="P1517">
        <v>1</v>
      </c>
      <c r="Q1517">
        <v>1</v>
      </c>
      <c r="R1517">
        <v>1</v>
      </c>
      <c r="S1517">
        <v>1</v>
      </c>
    </row>
    <row r="1518" spans="1:19" x14ac:dyDescent="0.25">
      <c r="A1518" s="1">
        <v>0.76587167824074076</v>
      </c>
      <c r="B1518" s="145" t="s">
        <v>2</v>
      </c>
      <c r="C1518">
        <v>1517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1</v>
      </c>
      <c r="M1518">
        <v>1</v>
      </c>
      <c r="N1518">
        <v>1</v>
      </c>
      <c r="O1518">
        <v>1</v>
      </c>
      <c r="P1518">
        <v>1</v>
      </c>
      <c r="Q1518">
        <v>1</v>
      </c>
      <c r="R1518">
        <v>1</v>
      </c>
      <c r="S1518">
        <v>1</v>
      </c>
    </row>
    <row r="1519" spans="1:19" x14ac:dyDescent="0.25">
      <c r="A1519" s="1">
        <v>0.76587179398148153</v>
      </c>
      <c r="B1519" s="145" t="s">
        <v>165</v>
      </c>
      <c r="C1519">
        <v>1518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</v>
      </c>
      <c r="N1519">
        <v>1</v>
      </c>
      <c r="O1519">
        <v>1</v>
      </c>
      <c r="P1519">
        <v>1</v>
      </c>
      <c r="Q1519">
        <v>1</v>
      </c>
      <c r="R1519">
        <v>1</v>
      </c>
      <c r="S1519">
        <v>1</v>
      </c>
    </row>
    <row r="1520" spans="1:19" x14ac:dyDescent="0.25">
      <c r="A1520" s="1">
        <v>0.76587190972222219</v>
      </c>
      <c r="B1520" s="145" t="s">
        <v>165</v>
      </c>
      <c r="C1520">
        <v>1519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1</v>
      </c>
      <c r="N1520">
        <v>1</v>
      </c>
      <c r="O1520">
        <v>1</v>
      </c>
      <c r="P1520">
        <v>1</v>
      </c>
      <c r="Q1520">
        <v>1</v>
      </c>
      <c r="R1520">
        <v>1</v>
      </c>
      <c r="S1520">
        <v>1</v>
      </c>
    </row>
    <row r="1521" spans="1:19" x14ac:dyDescent="0.25">
      <c r="A1521" s="1">
        <v>0.76587202546296296</v>
      </c>
      <c r="B1521" s="145" t="s">
        <v>165</v>
      </c>
      <c r="C1521">
        <v>1520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1</v>
      </c>
      <c r="M1521">
        <v>1</v>
      </c>
      <c r="N1521">
        <v>1</v>
      </c>
      <c r="O1521">
        <v>1</v>
      </c>
      <c r="P1521">
        <v>1</v>
      </c>
      <c r="Q1521">
        <v>1</v>
      </c>
      <c r="R1521">
        <v>1</v>
      </c>
      <c r="S1521">
        <v>1</v>
      </c>
    </row>
    <row r="1522" spans="1:19" x14ac:dyDescent="0.25">
      <c r="A1522" s="1">
        <v>0.76587214120370373</v>
      </c>
      <c r="B1522" s="145" t="s">
        <v>165</v>
      </c>
      <c r="C1522">
        <v>1521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1</v>
      </c>
      <c r="M1522">
        <v>1</v>
      </c>
      <c r="N1522">
        <v>1</v>
      </c>
      <c r="O1522">
        <v>1</v>
      </c>
      <c r="P1522">
        <v>1</v>
      </c>
      <c r="Q1522">
        <v>1</v>
      </c>
      <c r="R1522">
        <v>1</v>
      </c>
      <c r="S1522">
        <v>1</v>
      </c>
    </row>
    <row r="1523" spans="1:19" x14ac:dyDescent="0.25">
      <c r="A1523" s="1">
        <v>0.7658722569444445</v>
      </c>
      <c r="B1523" s="145" t="s">
        <v>2</v>
      </c>
      <c r="C1523">
        <v>1522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</row>
    <row r="1524" spans="1:19" x14ac:dyDescent="0.25">
      <c r="A1524" s="1">
        <v>0.76587236111111112</v>
      </c>
      <c r="B1524" s="145" t="s">
        <v>2</v>
      </c>
      <c r="C1524">
        <v>1523</v>
      </c>
      <c r="D1524">
        <v>0</v>
      </c>
      <c r="E1524">
        <v>1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1</v>
      </c>
      <c r="N1524">
        <v>1</v>
      </c>
      <c r="O1524">
        <v>1</v>
      </c>
      <c r="P1524">
        <v>1</v>
      </c>
      <c r="Q1524">
        <v>1</v>
      </c>
      <c r="R1524">
        <v>1</v>
      </c>
      <c r="S1524">
        <v>1</v>
      </c>
    </row>
    <row r="1525" spans="1:19" x14ac:dyDescent="0.25">
      <c r="A1525" s="1">
        <v>0.76587247685185189</v>
      </c>
      <c r="B1525" s="145" t="s">
        <v>165</v>
      </c>
      <c r="C1525">
        <v>1524</v>
      </c>
      <c r="D1525">
        <v>1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</v>
      </c>
      <c r="M1525">
        <v>1</v>
      </c>
      <c r="N1525">
        <v>1</v>
      </c>
      <c r="O1525">
        <v>1</v>
      </c>
      <c r="P1525">
        <v>1</v>
      </c>
      <c r="Q1525">
        <v>1</v>
      </c>
      <c r="R1525">
        <v>1</v>
      </c>
      <c r="S1525">
        <v>1</v>
      </c>
    </row>
    <row r="1526" spans="1:19" x14ac:dyDescent="0.25">
      <c r="A1526" s="1">
        <v>0.76587259259259255</v>
      </c>
      <c r="B1526" s="145" t="s">
        <v>165</v>
      </c>
      <c r="C1526">
        <v>1525</v>
      </c>
      <c r="D1526">
        <v>1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1</v>
      </c>
      <c r="N1526">
        <v>1</v>
      </c>
      <c r="O1526">
        <v>1</v>
      </c>
      <c r="P1526">
        <v>1</v>
      </c>
      <c r="Q1526">
        <v>1</v>
      </c>
      <c r="R1526">
        <v>1</v>
      </c>
      <c r="S1526">
        <v>1</v>
      </c>
    </row>
    <row r="1527" spans="1:19" x14ac:dyDescent="0.25">
      <c r="A1527" s="1">
        <v>0.76587270833333332</v>
      </c>
      <c r="B1527" s="145" t="s">
        <v>165</v>
      </c>
      <c r="C1527">
        <v>1526</v>
      </c>
      <c r="D1527">
        <v>1</v>
      </c>
      <c r="E1527">
        <v>1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1</v>
      </c>
      <c r="N1527">
        <v>1</v>
      </c>
      <c r="O1527">
        <v>1</v>
      </c>
      <c r="P1527">
        <v>1</v>
      </c>
      <c r="Q1527">
        <v>1</v>
      </c>
      <c r="R1527">
        <v>1</v>
      </c>
      <c r="S1527">
        <v>1</v>
      </c>
    </row>
    <row r="1528" spans="1:19" x14ac:dyDescent="0.25">
      <c r="A1528" s="1">
        <v>0.76587282407407409</v>
      </c>
      <c r="B1528" s="145" t="s">
        <v>165</v>
      </c>
      <c r="C1528">
        <v>1527</v>
      </c>
      <c r="D1528">
        <v>1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1</v>
      </c>
      <c r="M1528">
        <v>1</v>
      </c>
      <c r="N1528">
        <v>1</v>
      </c>
      <c r="O1528">
        <v>1</v>
      </c>
      <c r="P1528">
        <v>1</v>
      </c>
      <c r="Q1528">
        <v>1</v>
      </c>
      <c r="R1528">
        <v>1</v>
      </c>
      <c r="S1528">
        <v>1</v>
      </c>
    </row>
    <row r="1529" spans="1:19" x14ac:dyDescent="0.25">
      <c r="A1529" s="1">
        <v>0.76587293981481486</v>
      </c>
      <c r="B1529" s="145" t="s">
        <v>2</v>
      </c>
      <c r="C1529">
        <v>1528</v>
      </c>
      <c r="D1529">
        <v>0</v>
      </c>
      <c r="E1529">
        <v>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1</v>
      </c>
      <c r="M1529">
        <v>1</v>
      </c>
      <c r="N1529">
        <v>1</v>
      </c>
      <c r="O1529">
        <v>1</v>
      </c>
      <c r="P1529">
        <v>1</v>
      </c>
      <c r="Q1529">
        <v>1</v>
      </c>
      <c r="R1529">
        <v>1</v>
      </c>
      <c r="S1529">
        <v>1</v>
      </c>
    </row>
    <row r="1530" spans="1:19" x14ac:dyDescent="0.25">
      <c r="A1530" s="1">
        <v>0.76587305555555552</v>
      </c>
      <c r="B1530" s="145" t="s">
        <v>2</v>
      </c>
      <c r="C1530">
        <v>1529</v>
      </c>
      <c r="D1530">
        <v>0</v>
      </c>
      <c r="E1530">
        <v>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1</v>
      </c>
      <c r="O1530">
        <v>1</v>
      </c>
      <c r="P1530">
        <v>1</v>
      </c>
      <c r="Q1530">
        <v>1</v>
      </c>
      <c r="R1530">
        <v>1</v>
      </c>
      <c r="S1530">
        <v>1</v>
      </c>
    </row>
    <row r="1531" spans="1:19" x14ac:dyDescent="0.25">
      <c r="A1531" s="1">
        <v>0.76587317129629628</v>
      </c>
      <c r="B1531" s="145" t="s">
        <v>165</v>
      </c>
      <c r="C1531">
        <v>1530</v>
      </c>
      <c r="D1531">
        <v>1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1</v>
      </c>
      <c r="N1531">
        <v>1</v>
      </c>
      <c r="O1531">
        <v>1</v>
      </c>
      <c r="P1531">
        <v>1</v>
      </c>
      <c r="Q1531">
        <v>1</v>
      </c>
      <c r="R1531">
        <v>1</v>
      </c>
      <c r="S1531">
        <v>1</v>
      </c>
    </row>
    <row r="1532" spans="1:19" x14ac:dyDescent="0.25">
      <c r="A1532" s="1">
        <v>0.76587328703703705</v>
      </c>
      <c r="B1532" s="145" t="s">
        <v>165</v>
      </c>
      <c r="C1532">
        <v>1531</v>
      </c>
      <c r="D1532">
        <v>1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1</v>
      </c>
      <c r="M1532">
        <v>1</v>
      </c>
      <c r="N1532">
        <v>1</v>
      </c>
      <c r="O1532">
        <v>1</v>
      </c>
      <c r="P1532">
        <v>1</v>
      </c>
      <c r="Q1532">
        <v>1</v>
      </c>
      <c r="R1532">
        <v>1</v>
      </c>
      <c r="S1532">
        <v>1</v>
      </c>
    </row>
    <row r="1533" spans="1:19" x14ac:dyDescent="0.25">
      <c r="A1533" s="1">
        <v>0.76587340277777782</v>
      </c>
      <c r="B1533" s="145" t="s">
        <v>165</v>
      </c>
      <c r="C1533">
        <v>1532</v>
      </c>
      <c r="D1533">
        <v>1</v>
      </c>
      <c r="E1533">
        <v>1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1</v>
      </c>
      <c r="N1533">
        <v>1</v>
      </c>
      <c r="O1533">
        <v>1</v>
      </c>
      <c r="P1533">
        <v>1</v>
      </c>
      <c r="Q1533">
        <v>1</v>
      </c>
      <c r="R1533">
        <v>1</v>
      </c>
      <c r="S1533">
        <v>1</v>
      </c>
    </row>
    <row r="1534" spans="1:19" x14ac:dyDescent="0.25">
      <c r="A1534" s="1">
        <v>0.76587351851851848</v>
      </c>
      <c r="B1534" s="145" t="s">
        <v>165</v>
      </c>
      <c r="C1534">
        <v>1533</v>
      </c>
      <c r="D1534">
        <v>1</v>
      </c>
      <c r="E1534">
        <v>1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</row>
    <row r="1535" spans="1:19" x14ac:dyDescent="0.25">
      <c r="A1535" s="1">
        <v>0.76587363425925925</v>
      </c>
      <c r="B1535" s="145" t="s">
        <v>2</v>
      </c>
      <c r="C1535">
        <v>1534</v>
      </c>
      <c r="D1535">
        <v>0</v>
      </c>
      <c r="E1535">
        <v>1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1</v>
      </c>
      <c r="N1535">
        <v>1</v>
      </c>
      <c r="O1535">
        <v>1</v>
      </c>
      <c r="P1535">
        <v>1</v>
      </c>
      <c r="Q1535">
        <v>1</v>
      </c>
      <c r="R1535">
        <v>1</v>
      </c>
      <c r="S1535">
        <v>1</v>
      </c>
    </row>
    <row r="1536" spans="1:19" x14ac:dyDescent="0.25">
      <c r="A1536" s="1">
        <v>0.76587375000000002</v>
      </c>
      <c r="B1536" s="145" t="s">
        <v>2</v>
      </c>
      <c r="C1536">
        <v>1535</v>
      </c>
      <c r="D1536">
        <v>0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1</v>
      </c>
      <c r="N1536">
        <v>1</v>
      </c>
      <c r="O1536">
        <v>1</v>
      </c>
      <c r="P1536">
        <v>1</v>
      </c>
      <c r="Q1536">
        <v>1</v>
      </c>
      <c r="R1536">
        <v>1</v>
      </c>
      <c r="S1536">
        <v>1</v>
      </c>
    </row>
    <row r="1537" spans="1:19" x14ac:dyDescent="0.25">
      <c r="A1537" s="1">
        <v>0.76587386574074079</v>
      </c>
      <c r="B1537" s="145" t="s">
        <v>165</v>
      </c>
      <c r="C1537">
        <v>1536</v>
      </c>
      <c r="D1537">
        <v>1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1</v>
      </c>
      <c r="N1537">
        <v>1</v>
      </c>
      <c r="O1537">
        <v>1</v>
      </c>
      <c r="P1537">
        <v>1</v>
      </c>
      <c r="Q1537">
        <v>1</v>
      </c>
      <c r="R1537">
        <v>1</v>
      </c>
      <c r="S1537">
        <v>1</v>
      </c>
    </row>
    <row r="1538" spans="1:19" x14ac:dyDescent="0.25">
      <c r="A1538" s="1">
        <v>0.76587398148148145</v>
      </c>
      <c r="B1538" s="145" t="s">
        <v>165</v>
      </c>
      <c r="C1538">
        <v>1537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1</v>
      </c>
      <c r="M1538">
        <v>1</v>
      </c>
      <c r="N1538">
        <v>1</v>
      </c>
      <c r="O1538">
        <v>1</v>
      </c>
      <c r="P1538">
        <v>1</v>
      </c>
      <c r="Q1538">
        <v>1</v>
      </c>
      <c r="R1538">
        <v>1</v>
      </c>
      <c r="S1538">
        <v>1</v>
      </c>
    </row>
    <row r="1539" spans="1:19" x14ac:dyDescent="0.25">
      <c r="A1539" s="1">
        <v>0.76587409722222222</v>
      </c>
      <c r="B1539" s="145" t="s">
        <v>165</v>
      </c>
      <c r="C1539">
        <v>1538</v>
      </c>
      <c r="D1539">
        <v>1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1</v>
      </c>
      <c r="N1539">
        <v>1</v>
      </c>
      <c r="O1539">
        <v>1</v>
      </c>
      <c r="P1539">
        <v>1</v>
      </c>
      <c r="Q1539">
        <v>1</v>
      </c>
      <c r="R1539">
        <v>1</v>
      </c>
      <c r="S1539">
        <v>1</v>
      </c>
    </row>
    <row r="1540" spans="1:19" x14ac:dyDescent="0.25">
      <c r="A1540" s="1">
        <v>0.76587421296296299</v>
      </c>
      <c r="B1540" s="145" t="s">
        <v>165</v>
      </c>
      <c r="C1540">
        <v>1539</v>
      </c>
      <c r="D1540">
        <v>1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1</v>
      </c>
      <c r="O1540">
        <v>1</v>
      </c>
      <c r="P1540">
        <v>1</v>
      </c>
      <c r="Q1540">
        <v>1</v>
      </c>
      <c r="R1540">
        <v>1</v>
      </c>
      <c r="S1540">
        <v>1</v>
      </c>
    </row>
    <row r="1541" spans="1:19" x14ac:dyDescent="0.25">
      <c r="A1541" s="1">
        <v>0.76587432870370376</v>
      </c>
      <c r="B1541" s="145" t="s">
        <v>2</v>
      </c>
      <c r="C1541">
        <v>1540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1</v>
      </c>
      <c r="O1541">
        <v>1</v>
      </c>
      <c r="P1541">
        <v>1</v>
      </c>
      <c r="Q1541">
        <v>1</v>
      </c>
      <c r="R1541">
        <v>1</v>
      </c>
      <c r="S1541">
        <v>1</v>
      </c>
    </row>
    <row r="1542" spans="1:19" x14ac:dyDescent="0.25">
      <c r="A1542" s="1">
        <v>0.76587444444444441</v>
      </c>
      <c r="B1542" s="145" t="s">
        <v>2</v>
      </c>
      <c r="C1542">
        <v>1541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1</v>
      </c>
      <c r="N1542">
        <v>1</v>
      </c>
      <c r="O1542">
        <v>1</v>
      </c>
      <c r="P1542">
        <v>1</v>
      </c>
      <c r="Q1542">
        <v>1</v>
      </c>
      <c r="R1542">
        <v>1</v>
      </c>
      <c r="S1542">
        <v>1</v>
      </c>
    </row>
    <row r="1543" spans="1:19" x14ac:dyDescent="0.25">
      <c r="A1543" s="1">
        <v>0.76587456018518518</v>
      </c>
      <c r="B1543" s="145" t="s">
        <v>165</v>
      </c>
      <c r="C1543">
        <v>1542</v>
      </c>
      <c r="D1543">
        <v>1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1</v>
      </c>
      <c r="O1543">
        <v>1</v>
      </c>
      <c r="P1543">
        <v>1</v>
      </c>
      <c r="Q1543">
        <v>1</v>
      </c>
      <c r="R1543">
        <v>1</v>
      </c>
      <c r="S1543">
        <v>1</v>
      </c>
    </row>
    <row r="1544" spans="1:19" x14ac:dyDescent="0.25">
      <c r="A1544" s="1">
        <v>0.76587467592592595</v>
      </c>
      <c r="B1544" s="145" t="s">
        <v>165</v>
      </c>
      <c r="C1544">
        <v>1543</v>
      </c>
      <c r="D1544">
        <v>1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1</v>
      </c>
      <c r="M1544">
        <v>1</v>
      </c>
      <c r="N1544">
        <v>1</v>
      </c>
      <c r="O1544">
        <v>1</v>
      </c>
      <c r="P1544">
        <v>1</v>
      </c>
      <c r="Q1544">
        <v>1</v>
      </c>
      <c r="R1544">
        <v>1</v>
      </c>
      <c r="S1544">
        <v>1</v>
      </c>
    </row>
    <row r="1545" spans="1:19" x14ac:dyDescent="0.25">
      <c r="A1545" s="1">
        <v>0.76587479166666672</v>
      </c>
      <c r="B1545" s="145" t="s">
        <v>165</v>
      </c>
      <c r="C1545">
        <v>1544</v>
      </c>
      <c r="D1545">
        <v>1</v>
      </c>
      <c r="E1545">
        <v>1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1</v>
      </c>
      <c r="N1545">
        <v>1</v>
      </c>
      <c r="O1545">
        <v>1</v>
      </c>
      <c r="P1545">
        <v>1</v>
      </c>
      <c r="Q1545">
        <v>1</v>
      </c>
      <c r="R1545">
        <v>1</v>
      </c>
      <c r="S1545">
        <v>1</v>
      </c>
    </row>
    <row r="1546" spans="1:19" x14ac:dyDescent="0.25">
      <c r="A1546" s="1">
        <v>0.76587490740740738</v>
      </c>
      <c r="B1546" s="145" t="s">
        <v>165</v>
      </c>
      <c r="C1546">
        <v>1545</v>
      </c>
      <c r="D1546">
        <v>1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1</v>
      </c>
      <c r="O1546">
        <v>1</v>
      </c>
      <c r="P1546">
        <v>1</v>
      </c>
      <c r="Q1546">
        <v>1</v>
      </c>
      <c r="R1546">
        <v>1</v>
      </c>
      <c r="S1546">
        <v>1</v>
      </c>
    </row>
    <row r="1547" spans="1:19" x14ac:dyDescent="0.25">
      <c r="A1547" s="1">
        <v>0.76587502314814815</v>
      </c>
      <c r="B1547" s="145" t="s">
        <v>2</v>
      </c>
      <c r="C1547">
        <v>1546</v>
      </c>
      <c r="D1547">
        <v>0</v>
      </c>
      <c r="E1547">
        <v>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1</v>
      </c>
      <c r="M1547">
        <v>1</v>
      </c>
      <c r="N1547">
        <v>1</v>
      </c>
      <c r="O1547">
        <v>1</v>
      </c>
      <c r="P1547">
        <v>1</v>
      </c>
      <c r="Q1547">
        <v>1</v>
      </c>
      <c r="R1547">
        <v>1</v>
      </c>
      <c r="S1547">
        <v>1</v>
      </c>
    </row>
    <row r="1548" spans="1:19" x14ac:dyDescent="0.25">
      <c r="A1548" s="1">
        <v>0.76587513888888892</v>
      </c>
      <c r="B1548" s="145" t="s">
        <v>2</v>
      </c>
      <c r="C1548">
        <v>1547</v>
      </c>
      <c r="D1548">
        <v>0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1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</row>
    <row r="1549" spans="1:19" x14ac:dyDescent="0.25">
      <c r="A1549" s="1">
        <v>0.76587525462962958</v>
      </c>
      <c r="B1549" s="145" t="s">
        <v>165</v>
      </c>
      <c r="C1549">
        <v>1548</v>
      </c>
      <c r="D1549">
        <v>1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1</v>
      </c>
      <c r="N1549">
        <v>1</v>
      </c>
      <c r="O1549">
        <v>1</v>
      </c>
      <c r="P1549">
        <v>1</v>
      </c>
      <c r="Q1549">
        <v>1</v>
      </c>
      <c r="R1549">
        <v>1</v>
      </c>
      <c r="S1549">
        <v>1</v>
      </c>
    </row>
    <row r="1550" spans="1:19" x14ac:dyDescent="0.25">
      <c r="A1550" s="1">
        <v>0.76587537037037035</v>
      </c>
      <c r="B1550" s="145" t="s">
        <v>165</v>
      </c>
      <c r="C1550">
        <v>1549</v>
      </c>
      <c r="D1550">
        <v>1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1</v>
      </c>
      <c r="O1550">
        <v>1</v>
      </c>
      <c r="P1550">
        <v>1</v>
      </c>
      <c r="Q1550">
        <v>1</v>
      </c>
      <c r="R1550">
        <v>1</v>
      </c>
      <c r="S1550">
        <v>1</v>
      </c>
    </row>
    <row r="1551" spans="1:19" x14ac:dyDescent="0.25">
      <c r="A1551" s="1">
        <v>0.76587548611111111</v>
      </c>
      <c r="B1551" s="145" t="s">
        <v>165</v>
      </c>
      <c r="C1551">
        <v>1550</v>
      </c>
      <c r="D1551">
        <v>1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1</v>
      </c>
      <c r="M1551">
        <v>1</v>
      </c>
      <c r="N1551">
        <v>1</v>
      </c>
      <c r="O1551">
        <v>1</v>
      </c>
      <c r="P1551">
        <v>1</v>
      </c>
      <c r="Q1551">
        <v>1</v>
      </c>
      <c r="R1551">
        <v>1</v>
      </c>
      <c r="S1551">
        <v>1</v>
      </c>
    </row>
    <row r="1552" spans="1:19" x14ac:dyDescent="0.25">
      <c r="A1552" s="1">
        <v>0.76587560185185188</v>
      </c>
      <c r="B1552" s="145" t="s">
        <v>165</v>
      </c>
      <c r="C1552">
        <v>1551</v>
      </c>
      <c r="D1552">
        <v>1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1</v>
      </c>
      <c r="O1552">
        <v>1</v>
      </c>
      <c r="P1552">
        <v>1</v>
      </c>
      <c r="Q1552">
        <v>1</v>
      </c>
      <c r="R1552">
        <v>1</v>
      </c>
      <c r="S1552">
        <v>1</v>
      </c>
    </row>
    <row r="1553" spans="1:19" x14ac:dyDescent="0.25">
      <c r="A1553" s="1">
        <v>0.76587571759259254</v>
      </c>
      <c r="B1553" s="145" t="s">
        <v>2</v>
      </c>
      <c r="C1553">
        <v>1552</v>
      </c>
      <c r="D1553">
        <v>0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1</v>
      </c>
      <c r="O1553">
        <v>1</v>
      </c>
      <c r="P1553">
        <v>1</v>
      </c>
      <c r="Q1553">
        <v>1</v>
      </c>
      <c r="R1553">
        <v>1</v>
      </c>
      <c r="S1553">
        <v>1</v>
      </c>
    </row>
    <row r="1554" spans="1:19" x14ac:dyDescent="0.25">
      <c r="A1554" s="1">
        <v>0.76587583333333331</v>
      </c>
      <c r="B1554" s="145" t="s">
        <v>2</v>
      </c>
      <c r="C1554">
        <v>1553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1</v>
      </c>
      <c r="N1554">
        <v>1</v>
      </c>
      <c r="O1554">
        <v>1</v>
      </c>
      <c r="P1554">
        <v>1</v>
      </c>
      <c r="Q1554">
        <v>1</v>
      </c>
      <c r="R1554">
        <v>1</v>
      </c>
      <c r="S1554">
        <v>1</v>
      </c>
    </row>
    <row r="1555" spans="1:19" x14ac:dyDescent="0.25">
      <c r="A1555" s="1">
        <v>0.76587594907407408</v>
      </c>
      <c r="B1555" s="145" t="s">
        <v>165</v>
      </c>
      <c r="C1555">
        <v>1554</v>
      </c>
      <c r="D1555">
        <v>1</v>
      </c>
      <c r="E1555">
        <v>1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1</v>
      </c>
      <c r="M1555">
        <v>1</v>
      </c>
      <c r="N1555">
        <v>1</v>
      </c>
      <c r="O1555">
        <v>1</v>
      </c>
      <c r="P1555">
        <v>1</v>
      </c>
      <c r="Q1555">
        <v>1</v>
      </c>
      <c r="R1555">
        <v>1</v>
      </c>
      <c r="S1555">
        <v>1</v>
      </c>
    </row>
    <row r="1556" spans="1:19" x14ac:dyDescent="0.25">
      <c r="A1556" s="1">
        <v>0.76587606481481485</v>
      </c>
      <c r="B1556" s="145" t="s">
        <v>165</v>
      </c>
      <c r="C1556">
        <v>1555</v>
      </c>
      <c r="D1556">
        <v>1</v>
      </c>
      <c r="E1556">
        <v>1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1</v>
      </c>
      <c r="N1556">
        <v>1</v>
      </c>
      <c r="O1556">
        <v>1</v>
      </c>
      <c r="P1556">
        <v>1</v>
      </c>
      <c r="Q1556">
        <v>1</v>
      </c>
      <c r="R1556">
        <v>1</v>
      </c>
      <c r="S1556">
        <v>1</v>
      </c>
    </row>
    <row r="1557" spans="1:19" x14ac:dyDescent="0.25">
      <c r="A1557" s="1">
        <v>0.76587629629629628</v>
      </c>
      <c r="B1557" s="145" t="s">
        <v>165</v>
      </c>
      <c r="C1557">
        <v>1556</v>
      </c>
      <c r="D1557">
        <v>1</v>
      </c>
      <c r="E1557">
        <v>1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1</v>
      </c>
      <c r="M1557">
        <v>1</v>
      </c>
      <c r="N1557">
        <v>1</v>
      </c>
      <c r="O1557">
        <v>1</v>
      </c>
      <c r="P1557">
        <v>1</v>
      </c>
      <c r="Q1557">
        <v>1</v>
      </c>
      <c r="R1557">
        <v>1</v>
      </c>
      <c r="S1557">
        <v>1</v>
      </c>
    </row>
    <row r="1558" spans="1:19" x14ac:dyDescent="0.25">
      <c r="A1558" s="1">
        <v>0.76587641203703705</v>
      </c>
      <c r="B1558" s="145" t="s">
        <v>2</v>
      </c>
      <c r="C1558">
        <v>1557</v>
      </c>
      <c r="D1558">
        <v>0</v>
      </c>
      <c r="E1558">
        <v>1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1</v>
      </c>
      <c r="M1558">
        <v>1</v>
      </c>
      <c r="N1558">
        <v>1</v>
      </c>
      <c r="O1558">
        <v>1</v>
      </c>
      <c r="P1558">
        <v>1</v>
      </c>
      <c r="Q1558">
        <v>1</v>
      </c>
      <c r="R1558">
        <v>1</v>
      </c>
      <c r="S1558">
        <v>1</v>
      </c>
    </row>
    <row r="1559" spans="1:19" x14ac:dyDescent="0.25">
      <c r="A1559" s="1">
        <v>0.76587652777777782</v>
      </c>
      <c r="B1559" s="145" t="s">
        <v>2</v>
      </c>
      <c r="C1559">
        <v>1558</v>
      </c>
      <c r="D1559">
        <v>0</v>
      </c>
      <c r="E1559">
        <v>1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1</v>
      </c>
      <c r="N1559">
        <v>1</v>
      </c>
      <c r="O1559">
        <v>1</v>
      </c>
      <c r="P1559">
        <v>1</v>
      </c>
      <c r="Q1559">
        <v>1</v>
      </c>
      <c r="R1559">
        <v>1</v>
      </c>
      <c r="S1559">
        <v>1</v>
      </c>
    </row>
    <row r="1560" spans="1:19" x14ac:dyDescent="0.25">
      <c r="A1560" s="1">
        <v>0.76587664351851847</v>
      </c>
      <c r="B1560" s="145" t="s">
        <v>165</v>
      </c>
      <c r="C1560">
        <v>1559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</row>
    <row r="1561" spans="1:19" x14ac:dyDescent="0.25">
      <c r="A1561" s="1">
        <v>0.76587675925925924</v>
      </c>
      <c r="B1561" s="145" t="s">
        <v>165</v>
      </c>
      <c r="C1561">
        <v>1560</v>
      </c>
      <c r="D1561">
        <v>1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1</v>
      </c>
      <c r="M1561">
        <v>1</v>
      </c>
      <c r="N1561">
        <v>1</v>
      </c>
      <c r="O1561">
        <v>1</v>
      </c>
      <c r="P1561">
        <v>1</v>
      </c>
      <c r="Q1561">
        <v>1</v>
      </c>
      <c r="R1561">
        <v>1</v>
      </c>
      <c r="S1561">
        <v>1</v>
      </c>
    </row>
    <row r="1562" spans="1:19" x14ac:dyDescent="0.25">
      <c r="A1562" s="1">
        <v>0.76587687500000001</v>
      </c>
      <c r="B1562" s="145" t="s">
        <v>165</v>
      </c>
      <c r="C1562">
        <v>1561</v>
      </c>
      <c r="D1562">
        <v>1</v>
      </c>
      <c r="E1562">
        <v>1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1</v>
      </c>
      <c r="N1562">
        <v>1</v>
      </c>
      <c r="O1562">
        <v>1</v>
      </c>
      <c r="P1562">
        <v>1</v>
      </c>
      <c r="Q1562">
        <v>1</v>
      </c>
      <c r="R1562">
        <v>1</v>
      </c>
      <c r="S1562">
        <v>1</v>
      </c>
    </row>
    <row r="1563" spans="1:19" x14ac:dyDescent="0.25">
      <c r="A1563" s="1">
        <v>0.76587699074074078</v>
      </c>
      <c r="B1563" s="145" t="s">
        <v>165</v>
      </c>
      <c r="C1563">
        <v>1562</v>
      </c>
      <c r="D1563">
        <v>1</v>
      </c>
      <c r="E1563">
        <v>1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1</v>
      </c>
      <c r="N1563">
        <v>1</v>
      </c>
      <c r="O1563">
        <v>1</v>
      </c>
      <c r="P1563">
        <v>1</v>
      </c>
      <c r="Q1563">
        <v>1</v>
      </c>
      <c r="R1563">
        <v>1</v>
      </c>
      <c r="S1563">
        <v>1</v>
      </c>
    </row>
    <row r="1564" spans="1:19" x14ac:dyDescent="0.25">
      <c r="A1564" s="1">
        <v>0.76587710648148144</v>
      </c>
      <c r="B1564" s="145" t="s">
        <v>2</v>
      </c>
      <c r="C1564">
        <v>1563</v>
      </c>
      <c r="D1564">
        <v>0</v>
      </c>
      <c r="E1564">
        <v>1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1</v>
      </c>
      <c r="O1564">
        <v>1</v>
      </c>
      <c r="P1564">
        <v>1</v>
      </c>
      <c r="Q1564">
        <v>1</v>
      </c>
      <c r="R1564">
        <v>1</v>
      </c>
      <c r="S1564">
        <v>1</v>
      </c>
    </row>
    <row r="1565" spans="1:19" x14ac:dyDescent="0.25">
      <c r="A1565" s="1">
        <v>0.76587723379629624</v>
      </c>
      <c r="B1565" s="145" t="s">
        <v>2</v>
      </c>
      <c r="C1565">
        <v>1564</v>
      </c>
      <c r="D1565">
        <v>0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1</v>
      </c>
      <c r="M1565">
        <v>1</v>
      </c>
      <c r="N1565">
        <v>1</v>
      </c>
      <c r="O1565">
        <v>1</v>
      </c>
      <c r="P1565">
        <v>1</v>
      </c>
      <c r="Q1565">
        <v>1</v>
      </c>
      <c r="R1565">
        <v>1</v>
      </c>
      <c r="S1565">
        <v>1</v>
      </c>
    </row>
    <row r="1566" spans="1:19" x14ac:dyDescent="0.25">
      <c r="A1566" s="1">
        <v>0.76587733796296298</v>
      </c>
      <c r="B1566" s="145" t="s">
        <v>165</v>
      </c>
      <c r="C1566">
        <v>1565</v>
      </c>
      <c r="D1566">
        <v>1</v>
      </c>
      <c r="E1566">
        <v>1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1</v>
      </c>
      <c r="N1566">
        <v>1</v>
      </c>
      <c r="O1566">
        <v>1</v>
      </c>
      <c r="P1566">
        <v>1</v>
      </c>
      <c r="Q1566">
        <v>1</v>
      </c>
      <c r="R1566">
        <v>1</v>
      </c>
      <c r="S1566">
        <v>1</v>
      </c>
    </row>
    <row r="1567" spans="1:19" x14ac:dyDescent="0.25">
      <c r="A1567" s="1">
        <v>0.76587745370370375</v>
      </c>
      <c r="B1567" s="145" t="s">
        <v>165</v>
      </c>
      <c r="C1567">
        <v>1566</v>
      </c>
      <c r="D1567">
        <v>1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1</v>
      </c>
      <c r="N1567">
        <v>1</v>
      </c>
      <c r="O1567">
        <v>1</v>
      </c>
      <c r="P1567">
        <v>1</v>
      </c>
      <c r="Q1567">
        <v>1</v>
      </c>
      <c r="R1567">
        <v>1</v>
      </c>
      <c r="S1567">
        <v>1</v>
      </c>
    </row>
    <row r="1568" spans="1:19" x14ac:dyDescent="0.25">
      <c r="A1568" s="1">
        <v>0.76587756944444441</v>
      </c>
      <c r="B1568" s="145" t="s">
        <v>165</v>
      </c>
      <c r="C1568">
        <v>1567</v>
      </c>
      <c r="D1568">
        <v>1</v>
      </c>
      <c r="E1568">
        <v>1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1</v>
      </c>
      <c r="M1568">
        <v>1</v>
      </c>
      <c r="N1568">
        <v>1</v>
      </c>
      <c r="O1568">
        <v>1</v>
      </c>
      <c r="P1568">
        <v>1</v>
      </c>
      <c r="Q1568">
        <v>1</v>
      </c>
      <c r="R1568">
        <v>1</v>
      </c>
      <c r="S1568">
        <v>1</v>
      </c>
    </row>
    <row r="1569" spans="1:19" x14ac:dyDescent="0.25">
      <c r="A1569" s="1">
        <v>0.76587768518518518</v>
      </c>
      <c r="B1569" s="145" t="s">
        <v>165</v>
      </c>
      <c r="C1569">
        <v>1568</v>
      </c>
      <c r="D1569">
        <v>1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1</v>
      </c>
      <c r="M1569">
        <v>1</v>
      </c>
      <c r="N1569">
        <v>1</v>
      </c>
      <c r="O1569">
        <v>1</v>
      </c>
      <c r="P1569">
        <v>1</v>
      </c>
      <c r="Q1569">
        <v>1</v>
      </c>
      <c r="R1569">
        <v>1</v>
      </c>
      <c r="S1569">
        <v>1</v>
      </c>
    </row>
    <row r="1570" spans="1:19" x14ac:dyDescent="0.25">
      <c r="A1570" s="1">
        <v>0.76587780092592594</v>
      </c>
      <c r="B1570" s="145" t="s">
        <v>2</v>
      </c>
      <c r="C1570">
        <v>1569</v>
      </c>
      <c r="D1570">
        <v>0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1</v>
      </c>
      <c r="M1570">
        <v>1</v>
      </c>
      <c r="N1570">
        <v>1</v>
      </c>
      <c r="O1570">
        <v>1</v>
      </c>
      <c r="P1570">
        <v>1</v>
      </c>
      <c r="Q1570">
        <v>1</v>
      </c>
      <c r="R1570">
        <v>1</v>
      </c>
      <c r="S1570">
        <v>1</v>
      </c>
    </row>
    <row r="1571" spans="1:19" x14ac:dyDescent="0.25">
      <c r="A1571" s="1">
        <v>0.76587791666666671</v>
      </c>
      <c r="B1571" s="145" t="s">
        <v>2</v>
      </c>
      <c r="C1571">
        <v>1570</v>
      </c>
      <c r="D1571">
        <v>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1</v>
      </c>
      <c r="M1571">
        <v>1</v>
      </c>
      <c r="N1571">
        <v>1</v>
      </c>
      <c r="O1571">
        <v>1</v>
      </c>
      <c r="P1571">
        <v>1</v>
      </c>
      <c r="Q1571">
        <v>1</v>
      </c>
      <c r="R1571">
        <v>1</v>
      </c>
      <c r="S1571">
        <v>1</v>
      </c>
    </row>
    <row r="1572" spans="1:19" x14ac:dyDescent="0.25">
      <c r="A1572" s="1">
        <v>0.76587803240740737</v>
      </c>
      <c r="B1572" s="145" t="s">
        <v>165</v>
      </c>
      <c r="C1572">
        <v>1571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1</v>
      </c>
      <c r="O1572">
        <v>1</v>
      </c>
      <c r="P1572">
        <v>1</v>
      </c>
      <c r="Q1572">
        <v>1</v>
      </c>
      <c r="R1572">
        <v>1</v>
      </c>
      <c r="S1572">
        <v>1</v>
      </c>
    </row>
    <row r="1573" spans="1:19" x14ac:dyDescent="0.25">
      <c r="A1573" s="1">
        <v>0.76587814814814814</v>
      </c>
      <c r="B1573" s="145" t="s">
        <v>165</v>
      </c>
      <c r="C1573">
        <v>1572</v>
      </c>
      <c r="D1573">
        <v>1</v>
      </c>
      <c r="E1573">
        <v>1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</row>
    <row r="1574" spans="1:19" x14ac:dyDescent="0.25">
      <c r="A1574" s="1">
        <v>0.76587826388888891</v>
      </c>
      <c r="B1574" s="145" t="s">
        <v>165</v>
      </c>
      <c r="C1574">
        <v>1573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1</v>
      </c>
      <c r="M1574">
        <v>1</v>
      </c>
      <c r="N1574">
        <v>1</v>
      </c>
      <c r="O1574">
        <v>1</v>
      </c>
      <c r="P1574">
        <v>1</v>
      </c>
      <c r="Q1574">
        <v>1</v>
      </c>
      <c r="R1574">
        <v>1</v>
      </c>
      <c r="S1574">
        <v>1</v>
      </c>
    </row>
    <row r="1575" spans="1:19" x14ac:dyDescent="0.25">
      <c r="A1575" s="1">
        <v>0.76587837962962968</v>
      </c>
      <c r="B1575" s="145" t="s">
        <v>165</v>
      </c>
      <c r="C1575">
        <v>1574</v>
      </c>
      <c r="D1575">
        <v>1</v>
      </c>
      <c r="E1575">
        <v>1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1</v>
      </c>
      <c r="N1575">
        <v>1</v>
      </c>
      <c r="O1575">
        <v>1</v>
      </c>
      <c r="P1575">
        <v>1</v>
      </c>
      <c r="Q1575">
        <v>1</v>
      </c>
      <c r="R1575">
        <v>1</v>
      </c>
      <c r="S1575">
        <v>1</v>
      </c>
    </row>
    <row r="1576" spans="1:19" x14ac:dyDescent="0.25">
      <c r="A1576" s="1">
        <v>0.76587849537037034</v>
      </c>
      <c r="B1576" s="145" t="s">
        <v>2</v>
      </c>
      <c r="C1576">
        <v>1575</v>
      </c>
      <c r="D1576">
        <v>0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1</v>
      </c>
      <c r="N1576">
        <v>1</v>
      </c>
      <c r="O1576">
        <v>1</v>
      </c>
      <c r="P1576">
        <v>1</v>
      </c>
      <c r="Q1576">
        <v>1</v>
      </c>
      <c r="R1576">
        <v>1</v>
      </c>
      <c r="S1576">
        <v>1</v>
      </c>
    </row>
    <row r="1577" spans="1:19" x14ac:dyDescent="0.25">
      <c r="A1577" s="1">
        <v>0.76587861111111111</v>
      </c>
      <c r="B1577" s="145" t="s">
        <v>2</v>
      </c>
      <c r="C1577">
        <v>1576</v>
      </c>
      <c r="D1577">
        <v>0</v>
      </c>
      <c r="E1577">
        <v>1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1</v>
      </c>
      <c r="N1577">
        <v>1</v>
      </c>
      <c r="O1577">
        <v>1</v>
      </c>
      <c r="P1577">
        <v>1</v>
      </c>
      <c r="Q1577">
        <v>1</v>
      </c>
      <c r="R1577">
        <v>1</v>
      </c>
      <c r="S1577">
        <v>1</v>
      </c>
    </row>
    <row r="1578" spans="1:19" x14ac:dyDescent="0.25">
      <c r="A1578" s="1">
        <v>0.76587872685185188</v>
      </c>
      <c r="B1578" s="145" t="s">
        <v>165</v>
      </c>
      <c r="C1578">
        <v>1577</v>
      </c>
      <c r="D1578">
        <v>1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1</v>
      </c>
      <c r="N1578">
        <v>1</v>
      </c>
      <c r="O1578">
        <v>1</v>
      </c>
      <c r="P1578">
        <v>1</v>
      </c>
      <c r="Q1578">
        <v>1</v>
      </c>
      <c r="R1578">
        <v>1</v>
      </c>
      <c r="S1578">
        <v>1</v>
      </c>
    </row>
    <row r="1579" spans="1:19" x14ac:dyDescent="0.25">
      <c r="A1579" s="1">
        <v>0.76587884259259265</v>
      </c>
      <c r="B1579" s="145" t="s">
        <v>165</v>
      </c>
      <c r="C1579">
        <v>1578</v>
      </c>
      <c r="D1579">
        <v>1</v>
      </c>
      <c r="E1579">
        <v>1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1</v>
      </c>
      <c r="M1579">
        <v>1</v>
      </c>
      <c r="N1579">
        <v>1</v>
      </c>
      <c r="O1579">
        <v>1</v>
      </c>
      <c r="P1579">
        <v>1</v>
      </c>
      <c r="Q1579">
        <v>1</v>
      </c>
      <c r="R1579">
        <v>1</v>
      </c>
      <c r="S1579">
        <v>1</v>
      </c>
    </row>
    <row r="1580" spans="1:19" x14ac:dyDescent="0.25">
      <c r="A1580" s="1">
        <v>0.76587894675925927</v>
      </c>
      <c r="B1580" s="145" t="s">
        <v>165</v>
      </c>
      <c r="C1580">
        <v>1579</v>
      </c>
      <c r="D1580">
        <v>1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1</v>
      </c>
      <c r="N1580">
        <v>1</v>
      </c>
      <c r="O1580">
        <v>1</v>
      </c>
      <c r="P1580">
        <v>1</v>
      </c>
      <c r="Q1580">
        <v>1</v>
      </c>
      <c r="R1580">
        <v>1</v>
      </c>
      <c r="S1580">
        <v>1</v>
      </c>
    </row>
    <row r="1581" spans="1:19" x14ac:dyDescent="0.25">
      <c r="A1581" s="1">
        <v>0.76587906250000004</v>
      </c>
      <c r="B1581" s="145" t="s">
        <v>165</v>
      </c>
      <c r="C1581">
        <v>1580</v>
      </c>
      <c r="D1581">
        <v>1</v>
      </c>
      <c r="E1581">
        <v>1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1</v>
      </c>
      <c r="M1581">
        <v>1</v>
      </c>
      <c r="N1581">
        <v>1</v>
      </c>
      <c r="O1581">
        <v>1</v>
      </c>
      <c r="P1581">
        <v>1</v>
      </c>
      <c r="Q1581">
        <v>1</v>
      </c>
      <c r="R1581">
        <v>1</v>
      </c>
      <c r="S1581">
        <v>1</v>
      </c>
    </row>
    <row r="1582" spans="1:19" x14ac:dyDescent="0.25">
      <c r="A1582" s="1">
        <v>0.7658791782407407</v>
      </c>
      <c r="B1582" s="145" t="s">
        <v>2</v>
      </c>
      <c r="C1582">
        <v>1581</v>
      </c>
      <c r="D1582">
        <v>0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1</v>
      </c>
      <c r="M1582">
        <v>1</v>
      </c>
      <c r="N1582">
        <v>1</v>
      </c>
      <c r="O1582">
        <v>1</v>
      </c>
      <c r="P1582">
        <v>1</v>
      </c>
      <c r="Q1582">
        <v>1</v>
      </c>
      <c r="R1582">
        <v>1</v>
      </c>
      <c r="S1582">
        <v>1</v>
      </c>
    </row>
    <row r="1583" spans="1:19" x14ac:dyDescent="0.25">
      <c r="A1583" s="1">
        <v>0.76587929398148147</v>
      </c>
      <c r="B1583" s="145" t="s">
        <v>2</v>
      </c>
      <c r="C1583">
        <v>1582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1</v>
      </c>
      <c r="N1583">
        <v>1</v>
      </c>
      <c r="O1583">
        <v>1</v>
      </c>
      <c r="P1583">
        <v>1</v>
      </c>
      <c r="Q1583">
        <v>1</v>
      </c>
      <c r="R1583">
        <v>1</v>
      </c>
      <c r="S1583">
        <v>1</v>
      </c>
    </row>
    <row r="1584" spans="1:19" x14ac:dyDescent="0.25">
      <c r="A1584" s="1">
        <v>0.76587940972222224</v>
      </c>
      <c r="B1584" s="145" t="s">
        <v>165</v>
      </c>
      <c r="C1584">
        <v>1583</v>
      </c>
      <c r="D1584">
        <v>1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1</v>
      </c>
      <c r="N1584">
        <v>1</v>
      </c>
      <c r="O1584">
        <v>1</v>
      </c>
      <c r="P1584">
        <v>1</v>
      </c>
      <c r="Q1584">
        <v>1</v>
      </c>
      <c r="R1584">
        <v>1</v>
      </c>
      <c r="S1584">
        <v>1</v>
      </c>
    </row>
    <row r="1585" spans="1:19" x14ac:dyDescent="0.25">
      <c r="A1585" s="1">
        <v>0.76587952546296301</v>
      </c>
      <c r="B1585" s="145" t="s">
        <v>165</v>
      </c>
      <c r="C1585">
        <v>1584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1</v>
      </c>
      <c r="N1585">
        <v>1</v>
      </c>
      <c r="O1585">
        <v>1</v>
      </c>
      <c r="P1585">
        <v>1</v>
      </c>
      <c r="Q1585">
        <v>1</v>
      </c>
      <c r="R1585">
        <v>1</v>
      </c>
      <c r="S1585">
        <v>1</v>
      </c>
    </row>
    <row r="1586" spans="1:19" x14ac:dyDescent="0.25">
      <c r="A1586" s="1">
        <v>0.76587964120370366</v>
      </c>
      <c r="B1586" s="145" t="s">
        <v>165</v>
      </c>
      <c r="C1586">
        <v>1585</v>
      </c>
      <c r="D1586">
        <v>1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1</v>
      </c>
      <c r="N1586">
        <v>1</v>
      </c>
      <c r="O1586">
        <v>1</v>
      </c>
      <c r="P1586">
        <v>1</v>
      </c>
      <c r="Q1586">
        <v>1</v>
      </c>
      <c r="R1586">
        <v>1</v>
      </c>
      <c r="S1586">
        <v>1</v>
      </c>
    </row>
    <row r="1587" spans="1:19" x14ac:dyDescent="0.25">
      <c r="A1587" s="1">
        <v>0.76587975694444443</v>
      </c>
      <c r="B1587" s="145" t="s">
        <v>165</v>
      </c>
      <c r="C1587">
        <v>1586</v>
      </c>
      <c r="D1587">
        <v>1</v>
      </c>
      <c r="E1587">
        <v>1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1</v>
      </c>
      <c r="N1587">
        <v>1</v>
      </c>
      <c r="O1587">
        <v>1</v>
      </c>
      <c r="P1587">
        <v>1</v>
      </c>
      <c r="Q1587">
        <v>1</v>
      </c>
      <c r="R1587">
        <v>1</v>
      </c>
      <c r="S1587">
        <v>1</v>
      </c>
    </row>
    <row r="1588" spans="1:19" x14ac:dyDescent="0.25">
      <c r="A1588" s="1">
        <v>0.7658798726851852</v>
      </c>
      <c r="B1588" s="145" t="s">
        <v>2</v>
      </c>
      <c r="C1588">
        <v>1587</v>
      </c>
      <c r="D1588">
        <v>0</v>
      </c>
      <c r="E1588">
        <v>1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1</v>
      </c>
      <c r="M1588">
        <v>1</v>
      </c>
      <c r="N1588">
        <v>1</v>
      </c>
      <c r="O1588">
        <v>1</v>
      </c>
      <c r="P1588">
        <v>1</v>
      </c>
      <c r="Q1588">
        <v>1</v>
      </c>
      <c r="R1588">
        <v>1</v>
      </c>
      <c r="S1588">
        <v>1</v>
      </c>
    </row>
    <row r="1589" spans="1:19" x14ac:dyDescent="0.25">
      <c r="A1589" s="1">
        <v>0.76587998842592597</v>
      </c>
      <c r="B1589" s="145" t="s">
        <v>2</v>
      </c>
      <c r="C1589">
        <v>1588</v>
      </c>
      <c r="D1589">
        <v>0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1</v>
      </c>
      <c r="O1589">
        <v>1</v>
      </c>
      <c r="P1589">
        <v>1</v>
      </c>
      <c r="Q1589">
        <v>1</v>
      </c>
      <c r="R1589">
        <v>1</v>
      </c>
      <c r="S1589">
        <v>1</v>
      </c>
    </row>
    <row r="1590" spans="1:19" x14ac:dyDescent="0.25">
      <c r="A1590" s="1">
        <v>0.76588010416666663</v>
      </c>
      <c r="B1590" s="145" t="s">
        <v>165</v>
      </c>
      <c r="C1590">
        <v>1589</v>
      </c>
      <c r="D1590">
        <v>1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1</v>
      </c>
      <c r="N1590">
        <v>1</v>
      </c>
      <c r="O1590">
        <v>1</v>
      </c>
      <c r="P1590">
        <v>1</v>
      </c>
      <c r="Q1590">
        <v>1</v>
      </c>
      <c r="R1590">
        <v>1</v>
      </c>
      <c r="S1590">
        <v>1</v>
      </c>
    </row>
    <row r="1591" spans="1:19" x14ac:dyDescent="0.25">
      <c r="A1591" s="1">
        <v>0.7658802199074074</v>
      </c>
      <c r="B1591" s="145" t="s">
        <v>165</v>
      </c>
      <c r="C1591">
        <v>1590</v>
      </c>
      <c r="D1591">
        <v>1</v>
      </c>
      <c r="E1591">
        <v>1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1</v>
      </c>
      <c r="N1591">
        <v>1</v>
      </c>
      <c r="O1591">
        <v>1</v>
      </c>
      <c r="P1591">
        <v>1</v>
      </c>
      <c r="Q1591">
        <v>1</v>
      </c>
      <c r="R1591">
        <v>1</v>
      </c>
      <c r="S1591">
        <v>1</v>
      </c>
    </row>
    <row r="1592" spans="1:19" x14ac:dyDescent="0.25">
      <c r="A1592" s="1">
        <v>0.76588033564814817</v>
      </c>
      <c r="B1592" s="145" t="s">
        <v>165</v>
      </c>
      <c r="C1592">
        <v>1591</v>
      </c>
      <c r="D1592">
        <v>1</v>
      </c>
      <c r="E1592">
        <v>1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1</v>
      </c>
      <c r="M1592">
        <v>1</v>
      </c>
      <c r="N1592">
        <v>1</v>
      </c>
      <c r="O1592">
        <v>1</v>
      </c>
      <c r="P1592">
        <v>1</v>
      </c>
      <c r="Q1592">
        <v>1</v>
      </c>
      <c r="R1592">
        <v>1</v>
      </c>
      <c r="S1592">
        <v>1</v>
      </c>
    </row>
    <row r="1593" spans="1:19" x14ac:dyDescent="0.25">
      <c r="A1593" s="1">
        <v>0.76588045138888894</v>
      </c>
      <c r="B1593" s="145" t="s">
        <v>165</v>
      </c>
      <c r="C1593">
        <v>1592</v>
      </c>
      <c r="D1593">
        <v>1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1</v>
      </c>
      <c r="N1593">
        <v>1</v>
      </c>
      <c r="O1593">
        <v>1</v>
      </c>
      <c r="P1593">
        <v>1</v>
      </c>
      <c r="Q1593">
        <v>1</v>
      </c>
      <c r="R1593">
        <v>1</v>
      </c>
      <c r="S1593">
        <v>1</v>
      </c>
    </row>
    <row r="1594" spans="1:19" x14ac:dyDescent="0.25">
      <c r="A1594" s="1">
        <v>0.7658805671296296</v>
      </c>
      <c r="B1594" s="145" t="s">
        <v>2</v>
      </c>
      <c r="C1594">
        <v>1593</v>
      </c>
      <c r="D1594">
        <v>0</v>
      </c>
      <c r="E1594">
        <v>1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</v>
      </c>
      <c r="N1594">
        <v>1</v>
      </c>
      <c r="O1594">
        <v>1</v>
      </c>
      <c r="P1594">
        <v>1</v>
      </c>
      <c r="Q1594">
        <v>1</v>
      </c>
      <c r="R1594">
        <v>1</v>
      </c>
      <c r="S1594">
        <v>1</v>
      </c>
    </row>
    <row r="1595" spans="1:19" x14ac:dyDescent="0.25">
      <c r="A1595" s="1">
        <v>0.76588068287037037</v>
      </c>
      <c r="B1595" s="145" t="s">
        <v>2</v>
      </c>
      <c r="C1595">
        <v>1594</v>
      </c>
      <c r="D1595">
        <v>0</v>
      </c>
      <c r="E1595">
        <v>1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1</v>
      </c>
      <c r="M1595">
        <v>1</v>
      </c>
      <c r="N1595">
        <v>1</v>
      </c>
      <c r="O1595">
        <v>1</v>
      </c>
      <c r="P1595">
        <v>1</v>
      </c>
      <c r="Q1595">
        <v>1</v>
      </c>
      <c r="R1595">
        <v>1</v>
      </c>
      <c r="S1595">
        <v>1</v>
      </c>
    </row>
    <row r="1596" spans="1:19" x14ac:dyDescent="0.25">
      <c r="A1596" s="1">
        <v>0.76588079861111114</v>
      </c>
      <c r="B1596" s="145" t="s">
        <v>165</v>
      </c>
      <c r="C1596">
        <v>1595</v>
      </c>
      <c r="D1596">
        <v>1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</v>
      </c>
      <c r="N1596">
        <v>1</v>
      </c>
      <c r="O1596">
        <v>1</v>
      </c>
      <c r="P1596">
        <v>1</v>
      </c>
      <c r="Q1596">
        <v>1</v>
      </c>
      <c r="R1596">
        <v>1</v>
      </c>
      <c r="S1596">
        <v>1</v>
      </c>
    </row>
    <row r="1597" spans="1:19" x14ac:dyDescent="0.25">
      <c r="A1597" s="1">
        <v>0.7658809143518519</v>
      </c>
      <c r="B1597" s="145" t="s">
        <v>165</v>
      </c>
      <c r="C1597">
        <v>1596</v>
      </c>
      <c r="D1597">
        <v>1</v>
      </c>
      <c r="E1597">
        <v>1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1</v>
      </c>
      <c r="N1597">
        <v>1</v>
      </c>
      <c r="O1597">
        <v>1</v>
      </c>
      <c r="P1597">
        <v>1</v>
      </c>
      <c r="Q1597">
        <v>1</v>
      </c>
      <c r="R1597">
        <v>1</v>
      </c>
      <c r="S1597">
        <v>1</v>
      </c>
    </row>
    <row r="1598" spans="1:19" x14ac:dyDescent="0.25">
      <c r="A1598" s="1">
        <v>0.76588103009259256</v>
      </c>
      <c r="B1598" s="145" t="s">
        <v>165</v>
      </c>
      <c r="C1598">
        <v>1597</v>
      </c>
      <c r="D1598">
        <v>1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1</v>
      </c>
      <c r="R1598">
        <v>1</v>
      </c>
      <c r="S1598">
        <v>1</v>
      </c>
    </row>
    <row r="1599" spans="1:19" x14ac:dyDescent="0.25">
      <c r="A1599" s="1">
        <v>0.76588114583333333</v>
      </c>
      <c r="B1599" s="145" t="s">
        <v>165</v>
      </c>
      <c r="C1599">
        <v>1598</v>
      </c>
      <c r="D1599">
        <v>1</v>
      </c>
      <c r="E1599">
        <v>1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1</v>
      </c>
      <c r="N1599">
        <v>1</v>
      </c>
      <c r="O1599">
        <v>1</v>
      </c>
      <c r="P1599">
        <v>1</v>
      </c>
      <c r="Q1599">
        <v>1</v>
      </c>
      <c r="R1599">
        <v>1</v>
      </c>
      <c r="S1599">
        <v>1</v>
      </c>
    </row>
    <row r="1600" spans="1:19" x14ac:dyDescent="0.25">
      <c r="A1600" s="1">
        <v>0.7658812615740741</v>
      </c>
      <c r="B1600" s="145" t="s">
        <v>2</v>
      </c>
      <c r="C1600">
        <v>1599</v>
      </c>
      <c r="D1600">
        <v>0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1</v>
      </c>
      <c r="N1600">
        <v>1</v>
      </c>
      <c r="O1600">
        <v>1</v>
      </c>
      <c r="P1600">
        <v>1</v>
      </c>
      <c r="Q1600">
        <v>1</v>
      </c>
      <c r="R1600">
        <v>1</v>
      </c>
      <c r="S1600">
        <v>1</v>
      </c>
    </row>
    <row r="1601" spans="1:19" x14ac:dyDescent="0.25">
      <c r="A1601" s="1">
        <v>0.76588137731481476</v>
      </c>
      <c r="B1601" s="145" t="s">
        <v>2</v>
      </c>
      <c r="C1601">
        <v>1600</v>
      </c>
      <c r="D1601">
        <v>0</v>
      </c>
      <c r="E1601">
        <v>1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1</v>
      </c>
      <c r="N1601">
        <v>1</v>
      </c>
      <c r="O1601">
        <v>1</v>
      </c>
      <c r="P1601">
        <v>1</v>
      </c>
      <c r="Q1601">
        <v>1</v>
      </c>
      <c r="R1601">
        <v>1</v>
      </c>
      <c r="S1601">
        <v>1</v>
      </c>
    </row>
    <row r="1602" spans="1:19" x14ac:dyDescent="0.25">
      <c r="A1602" s="1">
        <v>0.76588149305555553</v>
      </c>
      <c r="B1602" s="145" t="s">
        <v>165</v>
      </c>
      <c r="C1602">
        <v>1601</v>
      </c>
      <c r="D1602">
        <v>1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</v>
      </c>
      <c r="N1602">
        <v>1</v>
      </c>
      <c r="O1602">
        <v>1</v>
      </c>
      <c r="P1602">
        <v>1</v>
      </c>
      <c r="Q1602">
        <v>1</v>
      </c>
      <c r="R1602">
        <v>1</v>
      </c>
      <c r="S1602">
        <v>1</v>
      </c>
    </row>
    <row r="1603" spans="1:19" x14ac:dyDescent="0.25">
      <c r="A1603" s="1">
        <v>0.7658816087962963</v>
      </c>
      <c r="B1603" s="145" t="s">
        <v>165</v>
      </c>
      <c r="C1603">
        <v>1602</v>
      </c>
      <c r="D1603">
        <v>1</v>
      </c>
      <c r="E1603">
        <v>1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1</v>
      </c>
      <c r="N1603">
        <v>1</v>
      </c>
      <c r="O1603">
        <v>1</v>
      </c>
      <c r="P1603">
        <v>1</v>
      </c>
      <c r="Q1603">
        <v>1</v>
      </c>
      <c r="R1603">
        <v>1</v>
      </c>
      <c r="S1603">
        <v>1</v>
      </c>
    </row>
    <row r="1604" spans="1:19" x14ac:dyDescent="0.25">
      <c r="A1604" s="1">
        <v>0.76588172453703707</v>
      </c>
      <c r="B1604" s="145" t="s">
        <v>165</v>
      </c>
      <c r="C1604">
        <v>1603</v>
      </c>
      <c r="D1604">
        <v>1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</v>
      </c>
      <c r="N1604">
        <v>1</v>
      </c>
      <c r="O1604">
        <v>1</v>
      </c>
      <c r="P1604">
        <v>1</v>
      </c>
      <c r="Q1604">
        <v>1</v>
      </c>
      <c r="R1604">
        <v>1</v>
      </c>
      <c r="S1604">
        <v>1</v>
      </c>
    </row>
    <row r="1605" spans="1:19" x14ac:dyDescent="0.25">
      <c r="A1605" s="1">
        <v>0.76588184027777773</v>
      </c>
      <c r="B1605" s="145" t="s">
        <v>165</v>
      </c>
      <c r="C1605">
        <v>1604</v>
      </c>
      <c r="D1605">
        <v>1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1</v>
      </c>
      <c r="N1605">
        <v>1</v>
      </c>
      <c r="O1605">
        <v>1</v>
      </c>
      <c r="P1605">
        <v>1</v>
      </c>
      <c r="Q1605">
        <v>1</v>
      </c>
      <c r="R1605">
        <v>1</v>
      </c>
      <c r="S1605">
        <v>1</v>
      </c>
    </row>
    <row r="1606" spans="1:19" x14ac:dyDescent="0.25">
      <c r="A1606" s="1">
        <v>0.76588195601851849</v>
      </c>
      <c r="B1606" s="145" t="s">
        <v>2</v>
      </c>
      <c r="C1606">
        <v>1605</v>
      </c>
      <c r="D1606">
        <v>0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</v>
      </c>
      <c r="N1606">
        <v>1</v>
      </c>
      <c r="O1606">
        <v>1</v>
      </c>
      <c r="P1606">
        <v>1</v>
      </c>
      <c r="Q1606">
        <v>1</v>
      </c>
      <c r="R1606">
        <v>1</v>
      </c>
      <c r="S1606">
        <v>1</v>
      </c>
    </row>
    <row r="1607" spans="1:19" x14ac:dyDescent="0.25">
      <c r="A1607" s="1">
        <v>0.76588207175925926</v>
      </c>
      <c r="B1607" s="145" t="s">
        <v>2</v>
      </c>
      <c r="C1607">
        <v>1606</v>
      </c>
      <c r="D1607">
        <v>0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1</v>
      </c>
      <c r="M1607">
        <v>1</v>
      </c>
      <c r="N1607">
        <v>1</v>
      </c>
      <c r="O1607">
        <v>1</v>
      </c>
      <c r="P1607">
        <v>1</v>
      </c>
      <c r="Q1607">
        <v>1</v>
      </c>
      <c r="R1607">
        <v>1</v>
      </c>
      <c r="S1607">
        <v>1</v>
      </c>
    </row>
    <row r="1608" spans="1:19" x14ac:dyDescent="0.25">
      <c r="A1608" s="1">
        <v>0.76588218750000003</v>
      </c>
      <c r="B1608" s="145" t="s">
        <v>165</v>
      </c>
      <c r="C1608">
        <v>1607</v>
      </c>
      <c r="D1608">
        <v>1</v>
      </c>
      <c r="E1608">
        <v>1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1</v>
      </c>
      <c r="N1608">
        <v>1</v>
      </c>
      <c r="O1608">
        <v>1</v>
      </c>
      <c r="P1608">
        <v>1</v>
      </c>
      <c r="Q1608">
        <v>1</v>
      </c>
      <c r="R1608">
        <v>1</v>
      </c>
      <c r="S1608">
        <v>1</v>
      </c>
    </row>
    <row r="1609" spans="1:19" x14ac:dyDescent="0.25">
      <c r="A1609" s="1">
        <v>0.76588230324074069</v>
      </c>
      <c r="B1609" s="145" t="s">
        <v>165</v>
      </c>
      <c r="C1609">
        <v>1608</v>
      </c>
      <c r="D1609">
        <v>1</v>
      </c>
      <c r="E1609">
        <v>1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1</v>
      </c>
      <c r="M1609">
        <v>1</v>
      </c>
      <c r="N1609">
        <v>1</v>
      </c>
      <c r="O1609">
        <v>1</v>
      </c>
      <c r="P1609">
        <v>1</v>
      </c>
      <c r="Q1609">
        <v>1</v>
      </c>
      <c r="R1609">
        <v>1</v>
      </c>
      <c r="S1609">
        <v>1</v>
      </c>
    </row>
    <row r="1610" spans="1:19" x14ac:dyDescent="0.25">
      <c r="A1610" s="1">
        <v>0.76588241898148146</v>
      </c>
      <c r="B1610" s="145" t="s">
        <v>165</v>
      </c>
      <c r="C1610">
        <v>1609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1</v>
      </c>
      <c r="M1610">
        <v>1</v>
      </c>
      <c r="N1610">
        <v>1</v>
      </c>
      <c r="O1610">
        <v>1</v>
      </c>
      <c r="P1610">
        <v>1</v>
      </c>
      <c r="Q1610">
        <v>1</v>
      </c>
      <c r="R1610">
        <v>1</v>
      </c>
      <c r="S1610">
        <v>1</v>
      </c>
    </row>
    <row r="1611" spans="1:19" x14ac:dyDescent="0.25">
      <c r="A1611" s="1">
        <v>0.76588253472222223</v>
      </c>
      <c r="B1611" s="145" t="s">
        <v>165</v>
      </c>
      <c r="C1611">
        <v>1610</v>
      </c>
      <c r="D1611">
        <v>1</v>
      </c>
      <c r="E1611">
        <v>1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1</v>
      </c>
      <c r="N1611">
        <v>1</v>
      </c>
      <c r="O1611">
        <v>1</v>
      </c>
      <c r="P1611">
        <v>1</v>
      </c>
      <c r="Q1611">
        <v>1</v>
      </c>
      <c r="R1611">
        <v>1</v>
      </c>
      <c r="S1611">
        <v>1</v>
      </c>
    </row>
    <row r="1612" spans="1:19" x14ac:dyDescent="0.25">
      <c r="A1612" s="1">
        <v>0.765882650462963</v>
      </c>
      <c r="B1612" s="145" t="s">
        <v>2</v>
      </c>
      <c r="C1612">
        <v>1611</v>
      </c>
      <c r="D1612">
        <v>0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1</v>
      </c>
      <c r="N1612">
        <v>1</v>
      </c>
      <c r="O1612">
        <v>1</v>
      </c>
      <c r="P1612">
        <v>1</v>
      </c>
      <c r="Q1612">
        <v>1</v>
      </c>
      <c r="R1612">
        <v>1</v>
      </c>
      <c r="S1612">
        <v>1</v>
      </c>
    </row>
    <row r="1613" spans="1:19" x14ac:dyDescent="0.25">
      <c r="A1613" s="1">
        <v>0.76588276620370366</v>
      </c>
      <c r="B1613" s="145" t="s">
        <v>2</v>
      </c>
      <c r="C1613">
        <v>1612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1</v>
      </c>
      <c r="N1613">
        <v>1</v>
      </c>
      <c r="O1613">
        <v>1</v>
      </c>
      <c r="P1613">
        <v>1</v>
      </c>
      <c r="Q1613">
        <v>1</v>
      </c>
      <c r="R1613">
        <v>1</v>
      </c>
      <c r="S1613">
        <v>1</v>
      </c>
    </row>
    <row r="1614" spans="1:19" x14ac:dyDescent="0.25">
      <c r="A1614" s="1">
        <v>0.76588288194444443</v>
      </c>
      <c r="B1614" s="145" t="s">
        <v>165</v>
      </c>
      <c r="C1614">
        <v>1613</v>
      </c>
      <c r="D1614">
        <v>1</v>
      </c>
      <c r="E1614">
        <v>1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1</v>
      </c>
      <c r="N1614">
        <v>1</v>
      </c>
      <c r="O1614">
        <v>1</v>
      </c>
      <c r="P1614">
        <v>1</v>
      </c>
      <c r="Q1614">
        <v>1</v>
      </c>
      <c r="R1614">
        <v>1</v>
      </c>
      <c r="S1614">
        <v>1</v>
      </c>
    </row>
    <row r="1615" spans="1:19" x14ac:dyDescent="0.25">
      <c r="A1615" s="1">
        <v>0.7658829976851852</v>
      </c>
      <c r="B1615" s="145" t="s">
        <v>165</v>
      </c>
      <c r="C1615">
        <v>1614</v>
      </c>
      <c r="D1615">
        <v>1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1</v>
      </c>
      <c r="N1615">
        <v>1</v>
      </c>
      <c r="O1615">
        <v>1</v>
      </c>
      <c r="P1615">
        <v>1</v>
      </c>
      <c r="Q1615">
        <v>1</v>
      </c>
      <c r="R1615">
        <v>1</v>
      </c>
      <c r="S1615">
        <v>1</v>
      </c>
    </row>
    <row r="1616" spans="1:19" x14ac:dyDescent="0.25">
      <c r="A1616" s="1">
        <v>0.76588311342592597</v>
      </c>
      <c r="B1616" s="145" t="s">
        <v>165</v>
      </c>
      <c r="C1616">
        <v>1615</v>
      </c>
      <c r="D1616">
        <v>1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1</v>
      </c>
      <c r="N1616">
        <v>1</v>
      </c>
      <c r="O1616">
        <v>1</v>
      </c>
      <c r="P1616">
        <v>1</v>
      </c>
      <c r="Q1616">
        <v>1</v>
      </c>
      <c r="R1616">
        <v>1</v>
      </c>
      <c r="S1616">
        <v>1</v>
      </c>
    </row>
    <row r="1617" spans="1:19" x14ac:dyDescent="0.25">
      <c r="A1617" s="1">
        <v>0.76588322916666662</v>
      </c>
      <c r="B1617" s="145" t="s">
        <v>165</v>
      </c>
      <c r="C1617">
        <v>1616</v>
      </c>
      <c r="D1617">
        <v>1</v>
      </c>
      <c r="E1617">
        <v>1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1</v>
      </c>
      <c r="N1617">
        <v>1</v>
      </c>
      <c r="O1617">
        <v>1</v>
      </c>
      <c r="P1617">
        <v>1</v>
      </c>
      <c r="Q1617">
        <v>1</v>
      </c>
      <c r="R1617">
        <v>1</v>
      </c>
      <c r="S1617">
        <v>1</v>
      </c>
    </row>
    <row r="1618" spans="1:19" x14ac:dyDescent="0.25">
      <c r="A1618" s="1">
        <v>0.76588334490740739</v>
      </c>
      <c r="B1618" s="145" t="s">
        <v>2</v>
      </c>
      <c r="C1618">
        <v>1617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</v>
      </c>
      <c r="N1618">
        <v>1</v>
      </c>
      <c r="O1618">
        <v>1</v>
      </c>
      <c r="P1618">
        <v>1</v>
      </c>
      <c r="Q1618">
        <v>1</v>
      </c>
      <c r="R1618">
        <v>1</v>
      </c>
      <c r="S1618">
        <v>1</v>
      </c>
    </row>
    <row r="1619" spans="1:19" x14ac:dyDescent="0.25">
      <c r="A1619" s="1">
        <v>0.76588346064814816</v>
      </c>
      <c r="B1619" s="145" t="s">
        <v>2</v>
      </c>
      <c r="C1619">
        <v>1618</v>
      </c>
      <c r="D1619">
        <v>0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1</v>
      </c>
      <c r="N1619">
        <v>1</v>
      </c>
      <c r="O1619">
        <v>1</v>
      </c>
      <c r="P1619">
        <v>1</v>
      </c>
      <c r="Q1619">
        <v>1</v>
      </c>
      <c r="R1619">
        <v>1</v>
      </c>
      <c r="S1619">
        <v>1</v>
      </c>
    </row>
    <row r="1620" spans="1:19" x14ac:dyDescent="0.25">
      <c r="A1620" s="1">
        <v>0.76588357638888893</v>
      </c>
      <c r="B1620" s="145" t="s">
        <v>165</v>
      </c>
      <c r="C1620">
        <v>1619</v>
      </c>
      <c r="D1620">
        <v>1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</v>
      </c>
      <c r="N1620">
        <v>1</v>
      </c>
      <c r="O1620">
        <v>1</v>
      </c>
      <c r="P1620">
        <v>1</v>
      </c>
      <c r="Q1620">
        <v>1</v>
      </c>
      <c r="R1620">
        <v>1</v>
      </c>
      <c r="S1620">
        <v>1</v>
      </c>
    </row>
    <row r="1621" spans="1:19" x14ac:dyDescent="0.25">
      <c r="A1621" s="1">
        <v>0.76588369212962959</v>
      </c>
      <c r="B1621" s="145" t="s">
        <v>165</v>
      </c>
      <c r="C1621">
        <v>1620</v>
      </c>
      <c r="D1621">
        <v>1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1</v>
      </c>
      <c r="N1621">
        <v>1</v>
      </c>
      <c r="O1621">
        <v>1</v>
      </c>
      <c r="P1621">
        <v>1</v>
      </c>
      <c r="Q1621">
        <v>1</v>
      </c>
      <c r="R1621">
        <v>1</v>
      </c>
      <c r="S1621">
        <v>1</v>
      </c>
    </row>
    <row r="1622" spans="1:19" x14ac:dyDescent="0.25">
      <c r="A1622" s="1">
        <v>0.76588380787037036</v>
      </c>
      <c r="B1622" s="145" t="s">
        <v>165</v>
      </c>
      <c r="C1622">
        <v>1621</v>
      </c>
      <c r="D1622">
        <v>1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1</v>
      </c>
      <c r="M1622">
        <v>1</v>
      </c>
      <c r="N1622">
        <v>1</v>
      </c>
      <c r="O1622">
        <v>1</v>
      </c>
      <c r="P1622">
        <v>1</v>
      </c>
      <c r="Q1622">
        <v>1</v>
      </c>
      <c r="R1622">
        <v>1</v>
      </c>
      <c r="S1622">
        <v>1</v>
      </c>
    </row>
    <row r="1623" spans="1:19" x14ac:dyDescent="0.25">
      <c r="A1623" s="1">
        <v>0.76588392361111113</v>
      </c>
      <c r="B1623" s="145" t="s">
        <v>165</v>
      </c>
      <c r="C1623">
        <v>1622</v>
      </c>
      <c r="D1623">
        <v>1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1</v>
      </c>
      <c r="M1623">
        <v>1</v>
      </c>
      <c r="N1623">
        <v>1</v>
      </c>
      <c r="O1623">
        <v>1</v>
      </c>
      <c r="P1623">
        <v>1</v>
      </c>
      <c r="Q1623">
        <v>1</v>
      </c>
      <c r="R1623">
        <v>1</v>
      </c>
      <c r="S1623">
        <v>1</v>
      </c>
    </row>
    <row r="1624" spans="1:19" x14ac:dyDescent="0.25">
      <c r="A1624" s="1">
        <v>0.7658840393518519</v>
      </c>
      <c r="B1624" s="145" t="s">
        <v>2</v>
      </c>
      <c r="C1624">
        <v>1623</v>
      </c>
      <c r="D1624">
        <v>0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1</v>
      </c>
      <c r="M1624">
        <v>1</v>
      </c>
      <c r="N1624">
        <v>1</v>
      </c>
      <c r="O1624">
        <v>1</v>
      </c>
      <c r="P1624">
        <v>1</v>
      </c>
      <c r="Q1624">
        <v>1</v>
      </c>
      <c r="R1624">
        <v>1</v>
      </c>
      <c r="S1624">
        <v>1</v>
      </c>
    </row>
    <row r="1625" spans="1:19" x14ac:dyDescent="0.25">
      <c r="A1625" s="1">
        <v>0.76588415509259256</v>
      </c>
      <c r="B1625" s="145" t="s">
        <v>2</v>
      </c>
      <c r="C1625">
        <v>1624</v>
      </c>
      <c r="D1625">
        <v>0</v>
      </c>
      <c r="E1625">
        <v>1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1</v>
      </c>
      <c r="N1625">
        <v>1</v>
      </c>
      <c r="O1625">
        <v>1</v>
      </c>
      <c r="P1625">
        <v>1</v>
      </c>
      <c r="Q1625">
        <v>1</v>
      </c>
      <c r="R1625">
        <v>1</v>
      </c>
      <c r="S1625">
        <v>1</v>
      </c>
    </row>
    <row r="1626" spans="1:19" x14ac:dyDescent="0.25">
      <c r="A1626" s="1">
        <v>0.76588427083333332</v>
      </c>
      <c r="B1626" s="145" t="s">
        <v>165</v>
      </c>
      <c r="C1626">
        <v>1625</v>
      </c>
      <c r="D1626">
        <v>1</v>
      </c>
      <c r="E1626">
        <v>1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1</v>
      </c>
      <c r="S1626">
        <v>1</v>
      </c>
    </row>
    <row r="1627" spans="1:19" x14ac:dyDescent="0.25">
      <c r="A1627" s="1">
        <v>0.76588438657407409</v>
      </c>
      <c r="B1627" s="145" t="s">
        <v>165</v>
      </c>
      <c r="C1627">
        <v>1626</v>
      </c>
      <c r="D1627">
        <v>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1</v>
      </c>
      <c r="N1627">
        <v>1</v>
      </c>
      <c r="O1627">
        <v>1</v>
      </c>
      <c r="P1627">
        <v>1</v>
      </c>
      <c r="Q1627">
        <v>1</v>
      </c>
      <c r="R1627">
        <v>1</v>
      </c>
      <c r="S1627">
        <v>1</v>
      </c>
    </row>
    <row r="1628" spans="1:19" x14ac:dyDescent="0.25">
      <c r="A1628" s="1">
        <v>0.76588450231481486</v>
      </c>
      <c r="B1628" s="145" t="s">
        <v>165</v>
      </c>
      <c r="C1628">
        <v>1627</v>
      </c>
      <c r="D1628">
        <v>1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1</v>
      </c>
      <c r="N1628">
        <v>1</v>
      </c>
      <c r="O1628">
        <v>1</v>
      </c>
      <c r="P1628">
        <v>1</v>
      </c>
      <c r="Q1628">
        <v>1</v>
      </c>
      <c r="R1628">
        <v>1</v>
      </c>
      <c r="S1628">
        <v>1</v>
      </c>
    </row>
    <row r="1629" spans="1:19" x14ac:dyDescent="0.25">
      <c r="A1629" s="1">
        <v>0.76588461805555552</v>
      </c>
      <c r="B1629" s="145" t="s">
        <v>165</v>
      </c>
      <c r="C1629">
        <v>1628</v>
      </c>
      <c r="D1629">
        <v>1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1</v>
      </c>
      <c r="M1629">
        <v>1</v>
      </c>
      <c r="N1629">
        <v>1</v>
      </c>
      <c r="O1629">
        <v>1</v>
      </c>
      <c r="P1629">
        <v>1</v>
      </c>
      <c r="Q1629">
        <v>1</v>
      </c>
      <c r="R1629">
        <v>1</v>
      </c>
      <c r="S1629">
        <v>1</v>
      </c>
    </row>
    <row r="1630" spans="1:19" x14ac:dyDescent="0.25">
      <c r="A1630" s="1">
        <v>0.76588473379629629</v>
      </c>
      <c r="B1630" s="145" t="s">
        <v>2</v>
      </c>
      <c r="C1630">
        <v>1629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</v>
      </c>
      <c r="N1630">
        <v>1</v>
      </c>
      <c r="O1630">
        <v>1</v>
      </c>
      <c r="P1630">
        <v>1</v>
      </c>
      <c r="Q1630">
        <v>1</v>
      </c>
      <c r="R1630">
        <v>1</v>
      </c>
      <c r="S1630">
        <v>1</v>
      </c>
    </row>
    <row r="1631" spans="1:19" x14ac:dyDescent="0.25">
      <c r="A1631" s="1">
        <v>0.76588484953703706</v>
      </c>
      <c r="B1631" s="145" t="s">
        <v>2</v>
      </c>
      <c r="C1631">
        <v>1630</v>
      </c>
      <c r="D1631">
        <v>0</v>
      </c>
      <c r="E1631">
        <v>1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1</v>
      </c>
      <c r="M1631">
        <v>1</v>
      </c>
      <c r="N1631">
        <v>1</v>
      </c>
      <c r="O1631">
        <v>1</v>
      </c>
      <c r="P1631">
        <v>1</v>
      </c>
      <c r="Q1631">
        <v>1</v>
      </c>
      <c r="R1631">
        <v>1</v>
      </c>
      <c r="S1631">
        <v>1</v>
      </c>
    </row>
    <row r="1632" spans="1:19" x14ac:dyDescent="0.25">
      <c r="A1632" s="1">
        <v>0.76588496527777783</v>
      </c>
      <c r="B1632" s="145" t="s">
        <v>165</v>
      </c>
      <c r="C1632">
        <v>1631</v>
      </c>
      <c r="D1632">
        <v>1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</v>
      </c>
      <c r="N1632">
        <v>1</v>
      </c>
      <c r="O1632">
        <v>1</v>
      </c>
      <c r="P1632">
        <v>1</v>
      </c>
      <c r="Q1632">
        <v>1</v>
      </c>
      <c r="R1632">
        <v>1</v>
      </c>
      <c r="S1632">
        <v>1</v>
      </c>
    </row>
    <row r="1633" spans="1:19" x14ac:dyDescent="0.25">
      <c r="A1633" s="1">
        <v>0.76588508101851849</v>
      </c>
      <c r="B1633" s="145" t="s">
        <v>165</v>
      </c>
      <c r="C1633">
        <v>1632</v>
      </c>
      <c r="D1633">
        <v>1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1</v>
      </c>
      <c r="M1633">
        <v>1</v>
      </c>
      <c r="N1633">
        <v>1</v>
      </c>
      <c r="O1633">
        <v>1</v>
      </c>
      <c r="P1633">
        <v>1</v>
      </c>
      <c r="Q1633">
        <v>1</v>
      </c>
      <c r="R1633">
        <v>1</v>
      </c>
      <c r="S1633">
        <v>1</v>
      </c>
    </row>
    <row r="1634" spans="1:19" x14ac:dyDescent="0.25">
      <c r="A1634" s="1">
        <v>0.76588519675925926</v>
      </c>
      <c r="B1634" s="145" t="s">
        <v>165</v>
      </c>
      <c r="C1634">
        <v>1633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1</v>
      </c>
      <c r="M1634">
        <v>1</v>
      </c>
      <c r="N1634">
        <v>1</v>
      </c>
      <c r="O1634">
        <v>1</v>
      </c>
      <c r="P1634">
        <v>1</v>
      </c>
      <c r="Q1634">
        <v>1</v>
      </c>
      <c r="R1634">
        <v>1</v>
      </c>
      <c r="S1634">
        <v>1</v>
      </c>
    </row>
    <row r="1635" spans="1:19" x14ac:dyDescent="0.25">
      <c r="A1635" s="1">
        <v>0.76588531250000003</v>
      </c>
      <c r="B1635" s="145" t="s">
        <v>165</v>
      </c>
      <c r="C1635">
        <v>1634</v>
      </c>
      <c r="D1635">
        <v>1</v>
      </c>
      <c r="E1635">
        <v>1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1</v>
      </c>
      <c r="M1635">
        <v>1</v>
      </c>
      <c r="N1635">
        <v>1</v>
      </c>
      <c r="O1635">
        <v>1</v>
      </c>
      <c r="P1635">
        <v>1</v>
      </c>
      <c r="Q1635">
        <v>1</v>
      </c>
      <c r="R1635">
        <v>1</v>
      </c>
      <c r="S1635">
        <v>1</v>
      </c>
    </row>
    <row r="1636" spans="1:19" x14ac:dyDescent="0.25">
      <c r="A1636" s="1">
        <v>0.7658854282407408</v>
      </c>
      <c r="B1636" s="145" t="s">
        <v>2</v>
      </c>
      <c r="C1636">
        <v>1635</v>
      </c>
      <c r="D1636">
        <v>0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1</v>
      </c>
      <c r="N1636">
        <v>1</v>
      </c>
      <c r="O1636">
        <v>1</v>
      </c>
      <c r="P1636">
        <v>1</v>
      </c>
      <c r="Q1636">
        <v>1</v>
      </c>
      <c r="R1636">
        <v>1</v>
      </c>
      <c r="S1636">
        <v>1</v>
      </c>
    </row>
    <row r="1637" spans="1:19" x14ac:dyDescent="0.25">
      <c r="A1637" s="1">
        <v>0.76588554398148145</v>
      </c>
      <c r="B1637" s="145" t="s">
        <v>2</v>
      </c>
      <c r="C1637">
        <v>1636</v>
      </c>
      <c r="D1637">
        <v>0</v>
      </c>
      <c r="E1637">
        <v>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1</v>
      </c>
      <c r="N1637">
        <v>1</v>
      </c>
      <c r="O1637">
        <v>1</v>
      </c>
      <c r="P1637">
        <v>1</v>
      </c>
      <c r="Q1637">
        <v>1</v>
      </c>
      <c r="R1637">
        <v>1</v>
      </c>
      <c r="S1637">
        <v>1</v>
      </c>
    </row>
    <row r="1638" spans="1:19" x14ac:dyDescent="0.25">
      <c r="A1638" s="1">
        <v>0.76588565972222222</v>
      </c>
      <c r="B1638" s="145" t="s">
        <v>165</v>
      </c>
      <c r="C1638">
        <v>1637</v>
      </c>
      <c r="D1638">
        <v>1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1</v>
      </c>
      <c r="N1638">
        <v>1</v>
      </c>
      <c r="O1638">
        <v>1</v>
      </c>
      <c r="P1638">
        <v>1</v>
      </c>
      <c r="Q1638">
        <v>1</v>
      </c>
      <c r="R1638">
        <v>1</v>
      </c>
      <c r="S1638">
        <v>1</v>
      </c>
    </row>
    <row r="1639" spans="1:19" x14ac:dyDescent="0.25">
      <c r="A1639" s="1">
        <v>0.76588576388888885</v>
      </c>
      <c r="B1639" s="145" t="s">
        <v>165</v>
      </c>
      <c r="C1639">
        <v>1638</v>
      </c>
      <c r="D1639">
        <v>1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v>1</v>
      </c>
      <c r="O1639">
        <v>1</v>
      </c>
      <c r="P1639">
        <v>1</v>
      </c>
      <c r="Q1639">
        <v>1</v>
      </c>
      <c r="R1639">
        <v>1</v>
      </c>
      <c r="S1639">
        <v>1</v>
      </c>
    </row>
    <row r="1640" spans="1:19" x14ac:dyDescent="0.25">
      <c r="A1640" s="1">
        <v>0.76588587962962962</v>
      </c>
      <c r="B1640" s="145" t="s">
        <v>165</v>
      </c>
      <c r="C1640">
        <v>1639</v>
      </c>
      <c r="D1640">
        <v>1</v>
      </c>
      <c r="E1640">
        <v>1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1</v>
      </c>
      <c r="M1640">
        <v>1</v>
      </c>
      <c r="N1640">
        <v>1</v>
      </c>
      <c r="O1640">
        <v>1</v>
      </c>
      <c r="P1640">
        <v>1</v>
      </c>
      <c r="Q1640">
        <v>1</v>
      </c>
      <c r="R1640">
        <v>1</v>
      </c>
      <c r="S1640">
        <v>1</v>
      </c>
    </row>
    <row r="1641" spans="1:19" x14ac:dyDescent="0.25">
      <c r="A1641" s="1">
        <v>0.76588599537037039</v>
      </c>
      <c r="B1641" s="145" t="s">
        <v>165</v>
      </c>
      <c r="C1641">
        <v>1640</v>
      </c>
      <c r="D1641">
        <v>1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1</v>
      </c>
      <c r="M1641">
        <v>1</v>
      </c>
      <c r="N1641">
        <v>1</v>
      </c>
      <c r="O1641">
        <v>1</v>
      </c>
      <c r="P1641">
        <v>1</v>
      </c>
      <c r="Q1641">
        <v>1</v>
      </c>
      <c r="R1641">
        <v>1</v>
      </c>
      <c r="S1641">
        <v>1</v>
      </c>
    </row>
    <row r="1642" spans="1:19" x14ac:dyDescent="0.25">
      <c r="A1642" s="1">
        <v>0.76588611111111116</v>
      </c>
      <c r="B1642" s="145" t="s">
        <v>2</v>
      </c>
      <c r="C1642">
        <v>1641</v>
      </c>
      <c r="D1642">
        <v>0</v>
      </c>
      <c r="E1642">
        <v>1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1</v>
      </c>
      <c r="N1642">
        <v>1</v>
      </c>
      <c r="O1642">
        <v>1</v>
      </c>
      <c r="P1642">
        <v>1</v>
      </c>
      <c r="Q1642">
        <v>1</v>
      </c>
      <c r="R1642">
        <v>1</v>
      </c>
      <c r="S1642">
        <v>1</v>
      </c>
    </row>
    <row r="1643" spans="1:19" x14ac:dyDescent="0.25">
      <c r="A1643" s="1">
        <v>0.76588622685185181</v>
      </c>
      <c r="B1643" s="145" t="s">
        <v>2</v>
      </c>
      <c r="C1643">
        <v>1642</v>
      </c>
      <c r="D1643">
        <v>0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1</v>
      </c>
      <c r="N1643">
        <v>1</v>
      </c>
      <c r="O1643">
        <v>1</v>
      </c>
      <c r="P1643">
        <v>1</v>
      </c>
      <c r="Q1643">
        <v>1</v>
      </c>
      <c r="R1643">
        <v>1</v>
      </c>
      <c r="S1643">
        <v>1</v>
      </c>
    </row>
    <row r="1644" spans="1:19" x14ac:dyDescent="0.25">
      <c r="A1644" s="1">
        <v>0.76588634259259258</v>
      </c>
      <c r="B1644" s="145" t="s">
        <v>165</v>
      </c>
      <c r="C1644">
        <v>1643</v>
      </c>
      <c r="D1644">
        <v>1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1</v>
      </c>
      <c r="M1644">
        <v>1</v>
      </c>
      <c r="N1644">
        <v>1</v>
      </c>
      <c r="O1644">
        <v>1</v>
      </c>
      <c r="P1644">
        <v>1</v>
      </c>
      <c r="Q1644">
        <v>1</v>
      </c>
      <c r="R1644">
        <v>1</v>
      </c>
      <c r="S1644">
        <v>1</v>
      </c>
    </row>
    <row r="1645" spans="1:19" x14ac:dyDescent="0.25">
      <c r="A1645" s="1">
        <v>0.76588645833333335</v>
      </c>
      <c r="B1645" s="145" t="s">
        <v>165</v>
      </c>
      <c r="C1645">
        <v>1644</v>
      </c>
      <c r="D1645">
        <v>1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1</v>
      </c>
      <c r="O1645">
        <v>1</v>
      </c>
      <c r="P1645">
        <v>1</v>
      </c>
      <c r="Q1645">
        <v>1</v>
      </c>
      <c r="R1645">
        <v>1</v>
      </c>
      <c r="S1645">
        <v>1</v>
      </c>
    </row>
    <row r="1646" spans="1:19" x14ac:dyDescent="0.25">
      <c r="A1646" s="1">
        <v>0.76588657407407412</v>
      </c>
      <c r="B1646" s="145" t="s">
        <v>165</v>
      </c>
      <c r="C1646">
        <v>1645</v>
      </c>
      <c r="D1646">
        <v>1</v>
      </c>
      <c r="E1646">
        <v>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1</v>
      </c>
      <c r="N1646">
        <v>1</v>
      </c>
      <c r="O1646">
        <v>1</v>
      </c>
      <c r="P1646">
        <v>1</v>
      </c>
      <c r="Q1646">
        <v>1</v>
      </c>
      <c r="R1646">
        <v>1</v>
      </c>
      <c r="S1646">
        <v>1</v>
      </c>
    </row>
    <row r="1647" spans="1:19" x14ac:dyDescent="0.25">
      <c r="A1647" s="1">
        <v>0.76588668981481478</v>
      </c>
      <c r="B1647" s="145" t="s">
        <v>165</v>
      </c>
      <c r="C1647">
        <v>1646</v>
      </c>
      <c r="D1647">
        <v>1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1</v>
      </c>
      <c r="N1647">
        <v>1</v>
      </c>
      <c r="O1647">
        <v>1</v>
      </c>
      <c r="P1647">
        <v>1</v>
      </c>
      <c r="Q1647">
        <v>1</v>
      </c>
      <c r="R1647">
        <v>1</v>
      </c>
      <c r="S1647">
        <v>1</v>
      </c>
    </row>
    <row r="1648" spans="1:19" x14ac:dyDescent="0.25">
      <c r="A1648" s="1">
        <v>0.76588680555555555</v>
      </c>
      <c r="B1648" s="145" t="s">
        <v>2</v>
      </c>
      <c r="C1648">
        <v>1647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1</v>
      </c>
      <c r="N1648">
        <v>1</v>
      </c>
      <c r="O1648">
        <v>1</v>
      </c>
      <c r="P1648">
        <v>1</v>
      </c>
      <c r="Q1648">
        <v>1</v>
      </c>
      <c r="R1648">
        <v>1</v>
      </c>
      <c r="S1648">
        <v>1</v>
      </c>
    </row>
    <row r="1649" spans="1:19" x14ac:dyDescent="0.25">
      <c r="A1649" s="1">
        <v>0.76588692129629632</v>
      </c>
      <c r="B1649" s="145" t="s">
        <v>2</v>
      </c>
      <c r="C1649">
        <v>1648</v>
      </c>
      <c r="D1649">
        <v>0</v>
      </c>
      <c r="E1649">
        <v>1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1</v>
      </c>
      <c r="N1649">
        <v>1</v>
      </c>
      <c r="O1649">
        <v>1</v>
      </c>
      <c r="P1649">
        <v>1</v>
      </c>
      <c r="Q1649">
        <v>1</v>
      </c>
      <c r="R1649">
        <v>1</v>
      </c>
      <c r="S1649">
        <v>1</v>
      </c>
    </row>
    <row r="1650" spans="1:19" x14ac:dyDescent="0.25">
      <c r="A1650" s="1">
        <v>0.76588703703703709</v>
      </c>
      <c r="B1650" s="145" t="s">
        <v>165</v>
      </c>
      <c r="C1650">
        <v>1649</v>
      </c>
      <c r="D1650">
        <v>1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1</v>
      </c>
      <c r="N1650">
        <v>1</v>
      </c>
      <c r="O1650">
        <v>1</v>
      </c>
      <c r="P1650">
        <v>1</v>
      </c>
      <c r="Q1650">
        <v>1</v>
      </c>
      <c r="R1650">
        <v>1</v>
      </c>
      <c r="S1650">
        <v>1</v>
      </c>
    </row>
    <row r="1651" spans="1:19" x14ac:dyDescent="0.25">
      <c r="A1651" s="1">
        <v>0.76588715277777775</v>
      </c>
      <c r="B1651" s="145" t="s">
        <v>165</v>
      </c>
      <c r="C1651">
        <v>1650</v>
      </c>
      <c r="D1651">
        <v>1</v>
      </c>
      <c r="E1651">
        <v>1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1</v>
      </c>
      <c r="N1651">
        <v>1</v>
      </c>
      <c r="O1651">
        <v>1</v>
      </c>
      <c r="P1651">
        <v>1</v>
      </c>
      <c r="Q1651">
        <v>1</v>
      </c>
      <c r="R1651">
        <v>1</v>
      </c>
      <c r="S1651">
        <v>1</v>
      </c>
    </row>
    <row r="1652" spans="1:19" x14ac:dyDescent="0.25">
      <c r="A1652" s="1">
        <v>0.76588726851851852</v>
      </c>
      <c r="B1652" s="145" t="s">
        <v>165</v>
      </c>
      <c r="C1652">
        <v>1651</v>
      </c>
      <c r="D1652">
        <v>1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1</v>
      </c>
      <c r="M1652">
        <v>1</v>
      </c>
      <c r="N1652">
        <v>1</v>
      </c>
      <c r="O1652">
        <v>1</v>
      </c>
      <c r="P1652">
        <v>1</v>
      </c>
      <c r="Q1652">
        <v>1</v>
      </c>
      <c r="R1652">
        <v>1</v>
      </c>
      <c r="S1652">
        <v>1</v>
      </c>
    </row>
    <row r="1653" spans="1:19" x14ac:dyDescent="0.25">
      <c r="A1653" s="1">
        <v>0.76588738425925929</v>
      </c>
      <c r="B1653" s="145" t="s">
        <v>165</v>
      </c>
      <c r="C1653">
        <v>1652</v>
      </c>
      <c r="D1653">
        <v>1</v>
      </c>
      <c r="E1653">
        <v>1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1</v>
      </c>
      <c r="N1653">
        <v>1</v>
      </c>
      <c r="O1653">
        <v>1</v>
      </c>
      <c r="P1653">
        <v>1</v>
      </c>
      <c r="Q1653">
        <v>1</v>
      </c>
      <c r="R1653">
        <v>1</v>
      </c>
      <c r="S1653">
        <v>1</v>
      </c>
    </row>
    <row r="1654" spans="1:19" x14ac:dyDescent="0.25">
      <c r="A1654" s="1">
        <v>0.76588750000000005</v>
      </c>
      <c r="B1654" s="145" t="s">
        <v>2</v>
      </c>
      <c r="C1654">
        <v>1653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1</v>
      </c>
      <c r="N1654">
        <v>1</v>
      </c>
      <c r="O1654">
        <v>1</v>
      </c>
      <c r="P1654">
        <v>1</v>
      </c>
      <c r="Q1654">
        <v>1</v>
      </c>
      <c r="R1654">
        <v>1</v>
      </c>
      <c r="S1654">
        <v>1</v>
      </c>
    </row>
    <row r="1655" spans="1:19" x14ac:dyDescent="0.25">
      <c r="A1655" s="1">
        <v>0.76588761574074071</v>
      </c>
      <c r="B1655" s="145" t="s">
        <v>2</v>
      </c>
      <c r="C1655">
        <v>1654</v>
      </c>
      <c r="D1655">
        <v>0</v>
      </c>
      <c r="E1655">
        <v>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</row>
    <row r="1656" spans="1:19" x14ac:dyDescent="0.25">
      <c r="A1656" s="1">
        <v>0.76588784722222225</v>
      </c>
      <c r="B1656" s="145" t="s">
        <v>165</v>
      </c>
      <c r="C1656">
        <v>1655</v>
      </c>
      <c r="D1656">
        <v>1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1</v>
      </c>
      <c r="N1656">
        <v>1</v>
      </c>
      <c r="O1656">
        <v>1</v>
      </c>
      <c r="P1656">
        <v>1</v>
      </c>
      <c r="Q1656">
        <v>1</v>
      </c>
      <c r="R1656">
        <v>1</v>
      </c>
      <c r="S1656">
        <v>1</v>
      </c>
    </row>
    <row r="1657" spans="1:19" x14ac:dyDescent="0.25">
      <c r="A1657" s="1">
        <v>0.76588796296296291</v>
      </c>
      <c r="B1657" s="145" t="s">
        <v>165</v>
      </c>
      <c r="C1657">
        <v>1656</v>
      </c>
      <c r="D1657">
        <v>1</v>
      </c>
      <c r="E1657">
        <v>1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1</v>
      </c>
      <c r="M1657">
        <v>1</v>
      </c>
      <c r="N1657">
        <v>1</v>
      </c>
      <c r="O1657">
        <v>1</v>
      </c>
      <c r="P1657">
        <v>1</v>
      </c>
      <c r="Q1657">
        <v>1</v>
      </c>
      <c r="R1657">
        <v>1</v>
      </c>
      <c r="S1657">
        <v>1</v>
      </c>
    </row>
    <row r="1658" spans="1:19" x14ac:dyDescent="0.25">
      <c r="A1658" s="1">
        <v>0.76588807870370368</v>
      </c>
      <c r="B1658" s="145" t="s">
        <v>165</v>
      </c>
      <c r="C1658">
        <v>1657</v>
      </c>
      <c r="D1658">
        <v>1</v>
      </c>
      <c r="E1658">
        <v>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1</v>
      </c>
      <c r="N1658">
        <v>1</v>
      </c>
      <c r="O1658">
        <v>1</v>
      </c>
      <c r="P1658">
        <v>1</v>
      </c>
      <c r="Q1658">
        <v>1</v>
      </c>
      <c r="R1658">
        <v>1</v>
      </c>
      <c r="S1658">
        <v>1</v>
      </c>
    </row>
    <row r="1659" spans="1:19" x14ac:dyDescent="0.25">
      <c r="A1659" s="1">
        <v>0.76588819444444445</v>
      </c>
      <c r="B1659" s="145" t="s">
        <v>2</v>
      </c>
      <c r="C1659">
        <v>1658</v>
      </c>
      <c r="D1659">
        <v>0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1</v>
      </c>
      <c r="M1659">
        <v>1</v>
      </c>
      <c r="N1659">
        <v>1</v>
      </c>
      <c r="O1659">
        <v>1</v>
      </c>
      <c r="P1659">
        <v>1</v>
      </c>
      <c r="Q1659">
        <v>1</v>
      </c>
      <c r="R1659">
        <v>1</v>
      </c>
      <c r="S1659">
        <v>1</v>
      </c>
    </row>
    <row r="1660" spans="1:19" x14ac:dyDescent="0.25">
      <c r="A1660" s="1">
        <v>0.76588831018518522</v>
      </c>
      <c r="B1660" s="145" t="s">
        <v>2</v>
      </c>
      <c r="C1660">
        <v>1659</v>
      </c>
      <c r="D1660">
        <v>0</v>
      </c>
      <c r="E1660">
        <v>1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1</v>
      </c>
      <c r="O1660">
        <v>1</v>
      </c>
      <c r="P1660">
        <v>1</v>
      </c>
      <c r="Q1660">
        <v>1</v>
      </c>
      <c r="R1660">
        <v>1</v>
      </c>
      <c r="S1660">
        <v>1</v>
      </c>
    </row>
    <row r="1661" spans="1:19" x14ac:dyDescent="0.25">
      <c r="A1661" s="1">
        <v>0.76588842592592588</v>
      </c>
      <c r="B1661" s="145" t="s">
        <v>165</v>
      </c>
      <c r="C1661">
        <v>1660</v>
      </c>
      <c r="D1661">
        <v>1</v>
      </c>
      <c r="E1661">
        <v>1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1</v>
      </c>
      <c r="M1661">
        <v>1</v>
      </c>
      <c r="N1661">
        <v>1</v>
      </c>
      <c r="O1661">
        <v>1</v>
      </c>
      <c r="P1661">
        <v>1</v>
      </c>
      <c r="Q1661">
        <v>1</v>
      </c>
      <c r="R1661">
        <v>1</v>
      </c>
      <c r="S1661">
        <v>1</v>
      </c>
    </row>
    <row r="1662" spans="1:19" x14ac:dyDescent="0.25">
      <c r="A1662" s="1">
        <v>0.76588854166666664</v>
      </c>
      <c r="B1662" s="145" t="s">
        <v>165</v>
      </c>
      <c r="C1662">
        <v>1661</v>
      </c>
      <c r="D1662">
        <v>1</v>
      </c>
      <c r="E1662">
        <v>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1</v>
      </c>
      <c r="N1662">
        <v>1</v>
      </c>
      <c r="O1662">
        <v>1</v>
      </c>
      <c r="P1662">
        <v>1</v>
      </c>
      <c r="Q1662">
        <v>1</v>
      </c>
      <c r="R1662">
        <v>1</v>
      </c>
      <c r="S1662">
        <v>1</v>
      </c>
    </row>
    <row r="1663" spans="1:19" x14ac:dyDescent="0.25">
      <c r="A1663" s="1">
        <v>0.76588865740740741</v>
      </c>
      <c r="B1663" s="145" t="s">
        <v>165</v>
      </c>
      <c r="C1663">
        <v>1662</v>
      </c>
      <c r="D1663">
        <v>1</v>
      </c>
      <c r="E1663">
        <v>1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1</v>
      </c>
      <c r="M1663">
        <v>1</v>
      </c>
      <c r="N1663">
        <v>1</v>
      </c>
      <c r="O1663">
        <v>1</v>
      </c>
      <c r="P1663">
        <v>1</v>
      </c>
      <c r="Q1663">
        <v>1</v>
      </c>
      <c r="R1663">
        <v>1</v>
      </c>
      <c r="S1663">
        <v>1</v>
      </c>
    </row>
    <row r="1664" spans="1:19" x14ac:dyDescent="0.25">
      <c r="A1664" s="1">
        <v>0.76588877314814818</v>
      </c>
      <c r="B1664" s="145" t="s">
        <v>165</v>
      </c>
      <c r="C1664">
        <v>1663</v>
      </c>
      <c r="D1664">
        <v>1</v>
      </c>
      <c r="E1664">
        <v>1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1</v>
      </c>
      <c r="N1664">
        <v>1</v>
      </c>
      <c r="O1664">
        <v>1</v>
      </c>
      <c r="P1664">
        <v>1</v>
      </c>
      <c r="Q1664">
        <v>1</v>
      </c>
      <c r="R1664">
        <v>1</v>
      </c>
      <c r="S1664">
        <v>1</v>
      </c>
    </row>
    <row r="1665" spans="1:19" x14ac:dyDescent="0.25">
      <c r="A1665" s="1">
        <v>0.76588888888888884</v>
      </c>
      <c r="B1665" s="145" t="s">
        <v>2</v>
      </c>
      <c r="C1665">
        <v>1664</v>
      </c>
      <c r="D1665">
        <v>0</v>
      </c>
      <c r="E1665">
        <v>1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1</v>
      </c>
      <c r="N1665">
        <v>1</v>
      </c>
      <c r="O1665">
        <v>1</v>
      </c>
      <c r="P1665">
        <v>1</v>
      </c>
      <c r="Q1665">
        <v>1</v>
      </c>
      <c r="R1665">
        <v>1</v>
      </c>
      <c r="S1665">
        <v>1</v>
      </c>
    </row>
    <row r="1666" spans="1:19" x14ac:dyDescent="0.25">
      <c r="A1666" s="1">
        <v>0.76588900462962961</v>
      </c>
      <c r="B1666" s="145" t="s">
        <v>2</v>
      </c>
      <c r="C1666">
        <v>1665</v>
      </c>
      <c r="D1666">
        <v>0</v>
      </c>
      <c r="E1666">
        <v>1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1</v>
      </c>
      <c r="N1666">
        <v>1</v>
      </c>
      <c r="O1666">
        <v>1</v>
      </c>
      <c r="P1666">
        <v>1</v>
      </c>
      <c r="Q1666">
        <v>1</v>
      </c>
      <c r="R1666">
        <v>1</v>
      </c>
      <c r="S1666">
        <v>1</v>
      </c>
    </row>
    <row r="1667" spans="1:19" x14ac:dyDescent="0.25">
      <c r="A1667" s="1">
        <v>0.76588912037037038</v>
      </c>
      <c r="B1667" s="145" t="s">
        <v>165</v>
      </c>
      <c r="C1667">
        <v>1666</v>
      </c>
      <c r="D1667">
        <v>1</v>
      </c>
      <c r="E1667">
        <v>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1</v>
      </c>
      <c r="N1667">
        <v>1</v>
      </c>
      <c r="O1667">
        <v>1</v>
      </c>
      <c r="P1667">
        <v>1</v>
      </c>
      <c r="Q1667">
        <v>1</v>
      </c>
      <c r="R1667">
        <v>1</v>
      </c>
      <c r="S1667">
        <v>1</v>
      </c>
    </row>
    <row r="1668" spans="1:19" x14ac:dyDescent="0.25">
      <c r="A1668" s="1">
        <v>0.76588923611111115</v>
      </c>
      <c r="B1668" s="145" t="s">
        <v>165</v>
      </c>
      <c r="C1668">
        <v>1667</v>
      </c>
      <c r="D1668">
        <v>1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1</v>
      </c>
      <c r="N1668">
        <v>1</v>
      </c>
      <c r="O1668">
        <v>1</v>
      </c>
      <c r="P1668">
        <v>1</v>
      </c>
      <c r="Q1668">
        <v>1</v>
      </c>
      <c r="R1668">
        <v>1</v>
      </c>
      <c r="S1668">
        <v>1</v>
      </c>
    </row>
    <row r="1669" spans="1:19" x14ac:dyDescent="0.25">
      <c r="A1669" s="1">
        <v>0.76588935185185181</v>
      </c>
      <c r="B1669" s="145" t="s">
        <v>165</v>
      </c>
      <c r="C1669">
        <v>1668</v>
      </c>
      <c r="D1669">
        <v>1</v>
      </c>
      <c r="E1669">
        <v>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1</v>
      </c>
      <c r="M1669">
        <v>1</v>
      </c>
      <c r="N1669">
        <v>1</v>
      </c>
      <c r="O1669">
        <v>1</v>
      </c>
      <c r="P1669">
        <v>1</v>
      </c>
      <c r="Q1669">
        <v>1</v>
      </c>
      <c r="R1669">
        <v>1</v>
      </c>
      <c r="S1669">
        <v>1</v>
      </c>
    </row>
    <row r="1670" spans="1:19" x14ac:dyDescent="0.25">
      <c r="A1670" s="1">
        <v>0.76588946759259258</v>
      </c>
      <c r="B1670" s="145" t="s">
        <v>165</v>
      </c>
      <c r="C1670">
        <v>1669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1</v>
      </c>
      <c r="M1670">
        <v>1</v>
      </c>
      <c r="N1670">
        <v>1</v>
      </c>
      <c r="O1670">
        <v>1</v>
      </c>
      <c r="P1670">
        <v>1</v>
      </c>
      <c r="Q1670">
        <v>1</v>
      </c>
      <c r="R1670">
        <v>1</v>
      </c>
      <c r="S1670">
        <v>1</v>
      </c>
    </row>
    <row r="1671" spans="1:19" x14ac:dyDescent="0.25">
      <c r="A1671" s="1">
        <v>0.76588958333333335</v>
      </c>
      <c r="B1671" s="145" t="s">
        <v>2</v>
      </c>
      <c r="C1671">
        <v>1670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>
        <v>1</v>
      </c>
      <c r="S1671">
        <v>1</v>
      </c>
    </row>
    <row r="1672" spans="1:19" x14ac:dyDescent="0.25">
      <c r="A1672" s="1">
        <v>0.76588969907407412</v>
      </c>
      <c r="B1672" s="145" t="s">
        <v>2</v>
      </c>
      <c r="C1672">
        <v>1671</v>
      </c>
      <c r="D1672">
        <v>0</v>
      </c>
      <c r="E1672">
        <v>1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1</v>
      </c>
      <c r="N1672">
        <v>1</v>
      </c>
      <c r="O1672">
        <v>1</v>
      </c>
      <c r="P1672">
        <v>1</v>
      </c>
      <c r="Q1672">
        <v>1</v>
      </c>
      <c r="R1672">
        <v>1</v>
      </c>
      <c r="S1672">
        <v>1</v>
      </c>
    </row>
    <row r="1673" spans="1:19" x14ac:dyDescent="0.25">
      <c r="A1673" s="1">
        <v>0.76588981481481477</v>
      </c>
      <c r="B1673" s="145" t="s">
        <v>165</v>
      </c>
      <c r="C1673">
        <v>1672</v>
      </c>
      <c r="D1673">
        <v>1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1</v>
      </c>
      <c r="M1673">
        <v>1</v>
      </c>
      <c r="N1673">
        <v>1</v>
      </c>
      <c r="O1673">
        <v>1</v>
      </c>
      <c r="P1673">
        <v>1</v>
      </c>
      <c r="Q1673">
        <v>1</v>
      </c>
      <c r="R1673">
        <v>1</v>
      </c>
      <c r="S1673">
        <v>1</v>
      </c>
    </row>
    <row r="1674" spans="1:19" x14ac:dyDescent="0.25">
      <c r="A1674" s="1">
        <v>0.76588993055555554</v>
      </c>
      <c r="B1674" s="145" t="s">
        <v>165</v>
      </c>
      <c r="C1674">
        <v>1673</v>
      </c>
      <c r="D1674">
        <v>1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1</v>
      </c>
      <c r="N1674">
        <v>1</v>
      </c>
      <c r="O1674">
        <v>1</v>
      </c>
      <c r="P1674">
        <v>1</v>
      </c>
      <c r="Q1674">
        <v>1</v>
      </c>
      <c r="R1674">
        <v>1</v>
      </c>
      <c r="S1674">
        <v>1</v>
      </c>
    </row>
    <row r="1675" spans="1:19" x14ac:dyDescent="0.25">
      <c r="A1675" s="1">
        <v>0.76589004629629631</v>
      </c>
      <c r="B1675" s="145" t="s">
        <v>165</v>
      </c>
      <c r="C1675">
        <v>1674</v>
      </c>
      <c r="D1675">
        <v>1</v>
      </c>
      <c r="E1675">
        <v>1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1</v>
      </c>
      <c r="N1675">
        <v>1</v>
      </c>
      <c r="O1675">
        <v>1</v>
      </c>
      <c r="P1675">
        <v>1</v>
      </c>
      <c r="Q1675">
        <v>1</v>
      </c>
      <c r="R1675">
        <v>1</v>
      </c>
      <c r="S1675">
        <v>1</v>
      </c>
    </row>
    <row r="1676" spans="1:19" x14ac:dyDescent="0.25">
      <c r="A1676" s="1">
        <v>0.76589016203703708</v>
      </c>
      <c r="B1676" s="145" t="s">
        <v>165</v>
      </c>
      <c r="C1676">
        <v>1675</v>
      </c>
      <c r="D1676">
        <v>1</v>
      </c>
      <c r="E1676">
        <v>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1</v>
      </c>
      <c r="M1676">
        <v>1</v>
      </c>
      <c r="N1676">
        <v>1</v>
      </c>
      <c r="O1676">
        <v>1</v>
      </c>
      <c r="P1676">
        <v>1</v>
      </c>
      <c r="Q1676">
        <v>1</v>
      </c>
      <c r="R1676">
        <v>1</v>
      </c>
      <c r="S1676">
        <v>1</v>
      </c>
    </row>
    <row r="1677" spans="1:19" x14ac:dyDescent="0.25">
      <c r="A1677" s="1">
        <v>0.76589027777777774</v>
      </c>
      <c r="B1677" s="145" t="s">
        <v>2</v>
      </c>
      <c r="C1677">
        <v>1676</v>
      </c>
      <c r="D1677">
        <v>0</v>
      </c>
      <c r="E1677">
        <v>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1</v>
      </c>
      <c r="M1677">
        <v>1</v>
      </c>
      <c r="N1677">
        <v>1</v>
      </c>
      <c r="O1677">
        <v>1</v>
      </c>
      <c r="P1677">
        <v>1</v>
      </c>
      <c r="Q1677">
        <v>1</v>
      </c>
      <c r="R1677">
        <v>1</v>
      </c>
      <c r="S1677">
        <v>1</v>
      </c>
    </row>
    <row r="1678" spans="1:19" x14ac:dyDescent="0.25">
      <c r="A1678" s="1">
        <v>0.76589039351851851</v>
      </c>
      <c r="B1678" s="145" t="s">
        <v>2</v>
      </c>
      <c r="C1678">
        <v>1677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1</v>
      </c>
      <c r="N1678">
        <v>1</v>
      </c>
      <c r="O1678">
        <v>1</v>
      </c>
      <c r="P1678">
        <v>1</v>
      </c>
      <c r="Q1678">
        <v>1</v>
      </c>
      <c r="R1678">
        <v>1</v>
      </c>
      <c r="S1678">
        <v>1</v>
      </c>
    </row>
    <row r="1679" spans="1:19" x14ac:dyDescent="0.25">
      <c r="A1679" s="1">
        <v>0.76589050925925928</v>
      </c>
      <c r="B1679" s="145" t="s">
        <v>165</v>
      </c>
      <c r="C1679">
        <v>1678</v>
      </c>
      <c r="D1679">
        <v>1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1</v>
      </c>
      <c r="M1679">
        <v>1</v>
      </c>
      <c r="N1679">
        <v>1</v>
      </c>
      <c r="O1679">
        <v>1</v>
      </c>
      <c r="P1679">
        <v>1</v>
      </c>
      <c r="Q1679">
        <v>1</v>
      </c>
      <c r="R1679">
        <v>1</v>
      </c>
      <c r="S1679">
        <v>1</v>
      </c>
    </row>
    <row r="1680" spans="1:19" x14ac:dyDescent="0.25">
      <c r="A1680" s="1">
        <v>0.76589062500000005</v>
      </c>
      <c r="B1680" s="145" t="s">
        <v>165</v>
      </c>
      <c r="C1680">
        <v>1679</v>
      </c>
      <c r="D1680">
        <v>1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1</v>
      </c>
      <c r="O1680">
        <v>1</v>
      </c>
      <c r="P1680">
        <v>1</v>
      </c>
      <c r="Q1680">
        <v>1</v>
      </c>
      <c r="R1680">
        <v>1</v>
      </c>
      <c r="S1680">
        <v>1</v>
      </c>
    </row>
    <row r="1681" spans="1:19" x14ac:dyDescent="0.25">
      <c r="A1681" s="1">
        <v>0.76589074074074071</v>
      </c>
      <c r="B1681" s="145" t="s">
        <v>165</v>
      </c>
      <c r="C1681">
        <v>1680</v>
      </c>
      <c r="D1681">
        <v>1</v>
      </c>
      <c r="E1681">
        <v>1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1</v>
      </c>
      <c r="O1681">
        <v>1</v>
      </c>
      <c r="P1681">
        <v>1</v>
      </c>
      <c r="Q1681">
        <v>1</v>
      </c>
      <c r="R1681">
        <v>1</v>
      </c>
      <c r="S1681">
        <v>1</v>
      </c>
    </row>
    <row r="1682" spans="1:19" x14ac:dyDescent="0.25">
      <c r="A1682" s="1">
        <v>0.76589085648148147</v>
      </c>
      <c r="B1682" s="145" t="s">
        <v>165</v>
      </c>
      <c r="C1682">
        <v>1681</v>
      </c>
      <c r="D1682">
        <v>1</v>
      </c>
      <c r="E1682">
        <v>1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1</v>
      </c>
      <c r="M1682">
        <v>1</v>
      </c>
      <c r="N1682">
        <v>1</v>
      </c>
      <c r="O1682">
        <v>1</v>
      </c>
      <c r="P1682">
        <v>1</v>
      </c>
      <c r="Q1682">
        <v>1</v>
      </c>
      <c r="R1682">
        <v>1</v>
      </c>
      <c r="S1682">
        <v>1</v>
      </c>
    </row>
    <row r="1683" spans="1:19" x14ac:dyDescent="0.25">
      <c r="A1683" s="1">
        <v>0.76589097222222224</v>
      </c>
      <c r="B1683" s="145" t="s">
        <v>2</v>
      </c>
      <c r="C1683">
        <v>1682</v>
      </c>
      <c r="D1683">
        <v>0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1</v>
      </c>
      <c r="N1683">
        <v>1</v>
      </c>
      <c r="O1683">
        <v>1</v>
      </c>
      <c r="P1683">
        <v>1</v>
      </c>
      <c r="Q1683">
        <v>1</v>
      </c>
      <c r="R1683">
        <v>1</v>
      </c>
      <c r="S1683">
        <v>1</v>
      </c>
    </row>
    <row r="1684" spans="1:19" x14ac:dyDescent="0.25">
      <c r="A1684" s="1">
        <v>0.76589108796296301</v>
      </c>
      <c r="B1684" s="145" t="s">
        <v>2</v>
      </c>
      <c r="C1684">
        <v>1683</v>
      </c>
      <c r="D1684">
        <v>0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1</v>
      </c>
      <c r="M1684">
        <v>1</v>
      </c>
      <c r="N1684">
        <v>1</v>
      </c>
      <c r="O1684">
        <v>1</v>
      </c>
      <c r="P1684">
        <v>1</v>
      </c>
      <c r="Q1684">
        <v>1</v>
      </c>
      <c r="R1684">
        <v>1</v>
      </c>
      <c r="S1684">
        <v>1</v>
      </c>
    </row>
    <row r="1685" spans="1:19" x14ac:dyDescent="0.25">
      <c r="A1685" s="1">
        <v>0.76589120370370367</v>
      </c>
      <c r="B1685" s="145" t="s">
        <v>165</v>
      </c>
      <c r="C1685">
        <v>1684</v>
      </c>
      <c r="D1685">
        <v>1</v>
      </c>
      <c r="E1685">
        <v>1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1</v>
      </c>
      <c r="O1685">
        <v>1</v>
      </c>
      <c r="P1685">
        <v>1</v>
      </c>
      <c r="Q1685">
        <v>1</v>
      </c>
      <c r="R1685">
        <v>1</v>
      </c>
      <c r="S1685">
        <v>1</v>
      </c>
    </row>
    <row r="1686" spans="1:19" x14ac:dyDescent="0.25">
      <c r="A1686" s="1">
        <v>0.76589131944444444</v>
      </c>
      <c r="B1686" s="145" t="s">
        <v>165</v>
      </c>
      <c r="C1686">
        <v>1685</v>
      </c>
      <c r="D1686">
        <v>1</v>
      </c>
      <c r="E1686">
        <v>1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1</v>
      </c>
      <c r="N1686">
        <v>1</v>
      </c>
      <c r="O1686">
        <v>1</v>
      </c>
      <c r="P1686">
        <v>1</v>
      </c>
      <c r="Q1686">
        <v>1</v>
      </c>
      <c r="R1686">
        <v>1</v>
      </c>
      <c r="S1686">
        <v>1</v>
      </c>
    </row>
    <row r="1687" spans="1:19" x14ac:dyDescent="0.25">
      <c r="A1687" s="1">
        <v>0.76589143518518521</v>
      </c>
      <c r="B1687" s="145" t="s">
        <v>165</v>
      </c>
      <c r="C1687">
        <v>1686</v>
      </c>
      <c r="D1687">
        <v>1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</v>
      </c>
      <c r="N1687">
        <v>1</v>
      </c>
      <c r="O1687">
        <v>1</v>
      </c>
      <c r="P1687">
        <v>1</v>
      </c>
      <c r="Q1687">
        <v>1</v>
      </c>
      <c r="R1687">
        <v>1</v>
      </c>
      <c r="S1687">
        <v>1</v>
      </c>
    </row>
    <row r="1688" spans="1:19" x14ac:dyDescent="0.25">
      <c r="A1688" s="1">
        <v>0.76589155092592598</v>
      </c>
      <c r="B1688" s="145" t="s">
        <v>165</v>
      </c>
      <c r="C1688">
        <v>1687</v>
      </c>
      <c r="D1688">
        <v>1</v>
      </c>
      <c r="E1688">
        <v>1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1</v>
      </c>
      <c r="N1688">
        <v>1</v>
      </c>
      <c r="O1688">
        <v>1</v>
      </c>
      <c r="P1688">
        <v>1</v>
      </c>
      <c r="Q1688">
        <v>1</v>
      </c>
      <c r="R1688">
        <v>1</v>
      </c>
      <c r="S1688">
        <v>1</v>
      </c>
    </row>
    <row r="1689" spans="1:19" x14ac:dyDescent="0.25">
      <c r="A1689" s="1">
        <v>0.76589166666666664</v>
      </c>
      <c r="B1689" s="145" t="s">
        <v>2</v>
      </c>
      <c r="C1689">
        <v>1688</v>
      </c>
      <c r="D1689">
        <v>0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1</v>
      </c>
      <c r="M1689">
        <v>1</v>
      </c>
      <c r="N1689">
        <v>1</v>
      </c>
      <c r="O1689">
        <v>1</v>
      </c>
      <c r="P1689">
        <v>1</v>
      </c>
      <c r="Q1689">
        <v>1</v>
      </c>
      <c r="R1689">
        <v>1</v>
      </c>
      <c r="S1689">
        <v>1</v>
      </c>
    </row>
    <row r="1690" spans="1:19" x14ac:dyDescent="0.25">
      <c r="A1690" s="1">
        <v>0.76589178240740741</v>
      </c>
      <c r="B1690" s="145" t="s">
        <v>2</v>
      </c>
      <c r="C1690">
        <v>1689</v>
      </c>
      <c r="D1690">
        <v>0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</v>
      </c>
      <c r="M1690">
        <v>1</v>
      </c>
      <c r="N1690">
        <v>1</v>
      </c>
      <c r="O1690">
        <v>1</v>
      </c>
      <c r="P1690">
        <v>1</v>
      </c>
      <c r="Q1690">
        <v>1</v>
      </c>
      <c r="R1690">
        <v>1</v>
      </c>
      <c r="S1690">
        <v>1</v>
      </c>
    </row>
    <row r="1691" spans="1:19" x14ac:dyDescent="0.25">
      <c r="A1691" s="1">
        <v>0.76589189814814818</v>
      </c>
      <c r="B1691" s="145" t="s">
        <v>165</v>
      </c>
      <c r="C1691">
        <v>1690</v>
      </c>
      <c r="D1691">
        <v>1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1</v>
      </c>
      <c r="N1691">
        <v>1</v>
      </c>
      <c r="O1691">
        <v>1</v>
      </c>
      <c r="P1691">
        <v>1</v>
      </c>
      <c r="Q1691">
        <v>1</v>
      </c>
      <c r="R1691">
        <v>1</v>
      </c>
      <c r="S1691">
        <v>1</v>
      </c>
    </row>
    <row r="1692" spans="1:19" x14ac:dyDescent="0.25">
      <c r="A1692" s="1">
        <v>0.76589201388888883</v>
      </c>
      <c r="B1692" s="145" t="s">
        <v>165</v>
      </c>
      <c r="C1692">
        <v>1691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1</v>
      </c>
      <c r="N1692">
        <v>1</v>
      </c>
      <c r="O1692">
        <v>1</v>
      </c>
      <c r="P1692">
        <v>1</v>
      </c>
      <c r="Q1692">
        <v>1</v>
      </c>
      <c r="R1692">
        <v>1</v>
      </c>
      <c r="S1692">
        <v>1</v>
      </c>
    </row>
    <row r="1693" spans="1:19" x14ac:dyDescent="0.25">
      <c r="A1693" s="1">
        <v>0.7658921296296296</v>
      </c>
      <c r="B1693" s="145" t="s">
        <v>165</v>
      </c>
      <c r="C1693">
        <v>1692</v>
      </c>
      <c r="D1693">
        <v>1</v>
      </c>
      <c r="E1693">
        <v>1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1</v>
      </c>
      <c r="O1693">
        <v>1</v>
      </c>
      <c r="P1693">
        <v>1</v>
      </c>
      <c r="Q1693">
        <v>1</v>
      </c>
      <c r="R1693">
        <v>1</v>
      </c>
      <c r="S1693">
        <v>1</v>
      </c>
    </row>
    <row r="1694" spans="1:19" x14ac:dyDescent="0.25">
      <c r="A1694" s="1">
        <v>0.76589224537037037</v>
      </c>
      <c r="B1694" s="145" t="s">
        <v>165</v>
      </c>
      <c r="C1694">
        <v>1693</v>
      </c>
      <c r="D1694">
        <v>1</v>
      </c>
      <c r="E1694">
        <v>1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1</v>
      </c>
      <c r="M1694">
        <v>1</v>
      </c>
      <c r="N1694">
        <v>1</v>
      </c>
      <c r="O1694">
        <v>1</v>
      </c>
      <c r="P1694">
        <v>1</v>
      </c>
      <c r="Q1694">
        <v>1</v>
      </c>
      <c r="R1694">
        <v>1</v>
      </c>
      <c r="S1694">
        <v>1</v>
      </c>
    </row>
    <row r="1695" spans="1:19" x14ac:dyDescent="0.25">
      <c r="A1695" s="1">
        <v>0.76589236111111114</v>
      </c>
      <c r="B1695" s="145" t="s">
        <v>2</v>
      </c>
      <c r="C1695">
        <v>1694</v>
      </c>
      <c r="D1695">
        <v>0</v>
      </c>
      <c r="E1695">
        <v>1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</v>
      </c>
      <c r="N1695">
        <v>1</v>
      </c>
      <c r="O1695">
        <v>1</v>
      </c>
      <c r="P1695">
        <v>1</v>
      </c>
      <c r="Q1695">
        <v>1</v>
      </c>
      <c r="R1695">
        <v>1</v>
      </c>
      <c r="S1695">
        <v>1</v>
      </c>
    </row>
    <row r="1696" spans="1:19" x14ac:dyDescent="0.25">
      <c r="A1696" s="1">
        <v>0.76589246527777777</v>
      </c>
      <c r="B1696" s="145" t="s">
        <v>2</v>
      </c>
      <c r="C1696">
        <v>1695</v>
      </c>
      <c r="D1696">
        <v>0</v>
      </c>
      <c r="E1696">
        <v>1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1</v>
      </c>
      <c r="M1696">
        <v>1</v>
      </c>
      <c r="N1696">
        <v>1</v>
      </c>
      <c r="O1696">
        <v>1</v>
      </c>
      <c r="P1696">
        <v>1</v>
      </c>
      <c r="Q1696">
        <v>1</v>
      </c>
      <c r="R1696">
        <v>1</v>
      </c>
      <c r="S1696">
        <v>1</v>
      </c>
    </row>
    <row r="1697" spans="1:19" x14ac:dyDescent="0.25">
      <c r="A1697" s="1">
        <v>0.76589258101851854</v>
      </c>
      <c r="B1697" s="145" t="s">
        <v>165</v>
      </c>
      <c r="C1697">
        <v>1696</v>
      </c>
      <c r="D1697">
        <v>1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1</v>
      </c>
      <c r="O1697">
        <v>1</v>
      </c>
      <c r="P1697">
        <v>1</v>
      </c>
      <c r="Q1697">
        <v>1</v>
      </c>
      <c r="R1697">
        <v>1</v>
      </c>
      <c r="S1697">
        <v>1</v>
      </c>
    </row>
    <row r="1698" spans="1:19" x14ac:dyDescent="0.25">
      <c r="A1698" s="1">
        <v>0.76589269675925931</v>
      </c>
      <c r="B1698" s="145" t="s">
        <v>165</v>
      </c>
      <c r="C1698">
        <v>1697</v>
      </c>
      <c r="D1698">
        <v>1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1</v>
      </c>
      <c r="N1698">
        <v>1</v>
      </c>
      <c r="O1698">
        <v>1</v>
      </c>
      <c r="P1698">
        <v>1</v>
      </c>
      <c r="Q1698">
        <v>1</v>
      </c>
      <c r="R1698">
        <v>1</v>
      </c>
      <c r="S1698">
        <v>1</v>
      </c>
    </row>
    <row r="1699" spans="1:19" x14ac:dyDescent="0.25">
      <c r="A1699" s="1">
        <v>0.76589281249999996</v>
      </c>
      <c r="B1699" s="145" t="s">
        <v>165</v>
      </c>
      <c r="C1699">
        <v>1698</v>
      </c>
      <c r="D1699">
        <v>1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1</v>
      </c>
      <c r="N1699">
        <v>1</v>
      </c>
      <c r="O1699">
        <v>1</v>
      </c>
      <c r="P1699">
        <v>1</v>
      </c>
      <c r="Q1699">
        <v>1</v>
      </c>
      <c r="R1699">
        <v>1</v>
      </c>
      <c r="S1699">
        <v>1</v>
      </c>
    </row>
    <row r="1700" spans="1:19" x14ac:dyDescent="0.25">
      <c r="A1700" s="1">
        <v>0.76589292824074073</v>
      </c>
      <c r="B1700" s="145" t="s">
        <v>165</v>
      </c>
      <c r="C1700">
        <v>1699</v>
      </c>
      <c r="D1700">
        <v>1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1</v>
      </c>
      <c r="M1700">
        <v>1</v>
      </c>
      <c r="N1700">
        <v>1</v>
      </c>
      <c r="O1700">
        <v>1</v>
      </c>
      <c r="P1700">
        <v>1</v>
      </c>
      <c r="Q1700">
        <v>1</v>
      </c>
      <c r="R1700">
        <v>1</v>
      </c>
      <c r="S1700">
        <v>1</v>
      </c>
    </row>
    <row r="1701" spans="1:19" x14ac:dyDescent="0.25">
      <c r="A1701" s="1">
        <v>0.7658930439814815</v>
      </c>
      <c r="B1701" s="145" t="s">
        <v>2</v>
      </c>
      <c r="C1701">
        <v>1700</v>
      </c>
      <c r="D1701">
        <v>0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1</v>
      </c>
      <c r="N1701">
        <v>1</v>
      </c>
      <c r="O1701">
        <v>1</v>
      </c>
      <c r="P1701">
        <v>1</v>
      </c>
      <c r="Q1701">
        <v>1</v>
      </c>
      <c r="R1701">
        <v>1</v>
      </c>
      <c r="S1701">
        <v>1</v>
      </c>
    </row>
    <row r="1702" spans="1:19" x14ac:dyDescent="0.25">
      <c r="A1702" s="1">
        <v>0.76589315972222227</v>
      </c>
      <c r="B1702" s="145" t="s">
        <v>2</v>
      </c>
      <c r="C1702">
        <v>1701</v>
      </c>
      <c r="D1702">
        <v>0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</row>
    <row r="1703" spans="1:19" x14ac:dyDescent="0.25">
      <c r="A1703" s="1">
        <v>0.76589327546296293</v>
      </c>
      <c r="B1703" s="145" t="s">
        <v>165</v>
      </c>
      <c r="C1703">
        <v>1702</v>
      </c>
      <c r="D1703">
        <v>1</v>
      </c>
      <c r="E1703">
        <v>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1</v>
      </c>
      <c r="M1703">
        <v>1</v>
      </c>
      <c r="N1703">
        <v>1</v>
      </c>
      <c r="O1703">
        <v>1</v>
      </c>
      <c r="P1703">
        <v>1</v>
      </c>
      <c r="Q1703">
        <v>1</v>
      </c>
      <c r="R1703">
        <v>1</v>
      </c>
      <c r="S1703">
        <v>1</v>
      </c>
    </row>
    <row r="1704" spans="1:19" x14ac:dyDescent="0.25">
      <c r="A1704" s="1">
        <v>0.7658933912037037</v>
      </c>
      <c r="B1704" s="145" t="s">
        <v>165</v>
      </c>
      <c r="C1704">
        <v>1703</v>
      </c>
      <c r="D1704">
        <v>1</v>
      </c>
      <c r="E1704">
        <v>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1</v>
      </c>
      <c r="M1704">
        <v>1</v>
      </c>
      <c r="N1704">
        <v>1</v>
      </c>
      <c r="O1704">
        <v>1</v>
      </c>
      <c r="P1704">
        <v>1</v>
      </c>
      <c r="Q1704">
        <v>1</v>
      </c>
      <c r="R1704">
        <v>1</v>
      </c>
      <c r="S1704">
        <v>1</v>
      </c>
    </row>
    <row r="1705" spans="1:19" x14ac:dyDescent="0.25">
      <c r="A1705" s="1">
        <v>0.76589350694444447</v>
      </c>
      <c r="B1705" s="145" t="s">
        <v>165</v>
      </c>
      <c r="C1705">
        <v>1704</v>
      </c>
      <c r="D1705">
        <v>1</v>
      </c>
      <c r="E1705">
        <v>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1</v>
      </c>
      <c r="M1705">
        <v>1</v>
      </c>
      <c r="N1705">
        <v>1</v>
      </c>
      <c r="O1705">
        <v>1</v>
      </c>
      <c r="P1705">
        <v>1</v>
      </c>
      <c r="Q1705">
        <v>1</v>
      </c>
      <c r="R1705">
        <v>1</v>
      </c>
      <c r="S1705">
        <v>1</v>
      </c>
    </row>
    <row r="1706" spans="1:19" x14ac:dyDescent="0.25">
      <c r="A1706" s="1">
        <v>0.76589362268518524</v>
      </c>
      <c r="B1706" s="145" t="s">
        <v>165</v>
      </c>
      <c r="C1706">
        <v>1705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1</v>
      </c>
      <c r="M1706">
        <v>1</v>
      </c>
      <c r="N1706">
        <v>1</v>
      </c>
      <c r="O1706">
        <v>1</v>
      </c>
      <c r="P1706">
        <v>1</v>
      </c>
      <c r="Q1706">
        <v>1</v>
      </c>
      <c r="R1706">
        <v>1</v>
      </c>
      <c r="S1706">
        <v>1</v>
      </c>
    </row>
    <row r="1707" spans="1:19" x14ac:dyDescent="0.25">
      <c r="A1707" s="1">
        <v>0.7658937384259259</v>
      </c>
      <c r="B1707" s="145" t="s">
        <v>2</v>
      </c>
      <c r="C1707">
        <v>1706</v>
      </c>
      <c r="D1707">
        <v>0</v>
      </c>
      <c r="E1707">
        <v>1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1</v>
      </c>
      <c r="N1707">
        <v>1</v>
      </c>
      <c r="O1707">
        <v>1</v>
      </c>
      <c r="P1707">
        <v>1</v>
      </c>
      <c r="Q1707">
        <v>1</v>
      </c>
      <c r="R1707">
        <v>1</v>
      </c>
      <c r="S1707">
        <v>1</v>
      </c>
    </row>
    <row r="1708" spans="1:19" x14ac:dyDescent="0.25">
      <c r="A1708" s="1">
        <v>0.76589385416666667</v>
      </c>
      <c r="B1708" s="145" t="s">
        <v>2</v>
      </c>
      <c r="C1708">
        <v>1707</v>
      </c>
      <c r="D1708">
        <v>0</v>
      </c>
      <c r="E1708">
        <v>1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1</v>
      </c>
      <c r="M1708">
        <v>1</v>
      </c>
      <c r="N1708">
        <v>1</v>
      </c>
      <c r="O1708">
        <v>1</v>
      </c>
      <c r="P1708">
        <v>1</v>
      </c>
      <c r="Q1708">
        <v>1</v>
      </c>
      <c r="R1708">
        <v>1</v>
      </c>
      <c r="S1708">
        <v>1</v>
      </c>
    </row>
    <row r="1709" spans="1:19" x14ac:dyDescent="0.25">
      <c r="A1709" s="1">
        <v>0.76589396990740743</v>
      </c>
      <c r="B1709" s="145" t="s">
        <v>165</v>
      </c>
      <c r="C1709">
        <v>1708</v>
      </c>
      <c r="D1709">
        <v>1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1</v>
      </c>
      <c r="O1709">
        <v>1</v>
      </c>
      <c r="P1709">
        <v>1</v>
      </c>
      <c r="Q1709">
        <v>1</v>
      </c>
      <c r="R1709">
        <v>1</v>
      </c>
      <c r="S1709">
        <v>1</v>
      </c>
    </row>
    <row r="1710" spans="1:19" x14ac:dyDescent="0.25">
      <c r="A1710" s="1">
        <v>0.76589408564814809</v>
      </c>
      <c r="B1710" s="145" t="s">
        <v>165</v>
      </c>
      <c r="C1710">
        <v>1709</v>
      </c>
      <c r="D1710">
        <v>1</v>
      </c>
      <c r="E1710">
        <v>1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1</v>
      </c>
      <c r="O1710">
        <v>1</v>
      </c>
      <c r="P1710">
        <v>1</v>
      </c>
      <c r="Q1710">
        <v>1</v>
      </c>
      <c r="R1710">
        <v>1</v>
      </c>
      <c r="S1710">
        <v>1</v>
      </c>
    </row>
    <row r="1711" spans="1:19" x14ac:dyDescent="0.25">
      <c r="A1711" s="1">
        <v>0.76589420138888886</v>
      </c>
      <c r="B1711" s="145" t="s">
        <v>165</v>
      </c>
      <c r="C1711">
        <v>1710</v>
      </c>
      <c r="D1711">
        <v>1</v>
      </c>
      <c r="E1711">
        <v>1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1</v>
      </c>
      <c r="N1711">
        <v>1</v>
      </c>
      <c r="O1711">
        <v>1</v>
      </c>
      <c r="P1711">
        <v>1</v>
      </c>
      <c r="Q1711">
        <v>1</v>
      </c>
      <c r="R1711">
        <v>1</v>
      </c>
      <c r="S1711">
        <v>1</v>
      </c>
    </row>
    <row r="1712" spans="1:19" x14ac:dyDescent="0.25">
      <c r="A1712" s="1">
        <v>0.76589431712962963</v>
      </c>
      <c r="B1712" s="145" t="s">
        <v>165</v>
      </c>
      <c r="C1712">
        <v>1711</v>
      </c>
      <c r="D1712">
        <v>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</row>
    <row r="1713" spans="1:19" x14ac:dyDescent="0.25">
      <c r="A1713" s="1">
        <v>0.7658944328703704</v>
      </c>
      <c r="B1713" s="145" t="s">
        <v>2</v>
      </c>
      <c r="C1713">
        <v>1712</v>
      </c>
      <c r="D1713">
        <v>0</v>
      </c>
      <c r="E1713">
        <v>1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1</v>
      </c>
      <c r="N1713">
        <v>1</v>
      </c>
      <c r="O1713">
        <v>1</v>
      </c>
      <c r="P1713">
        <v>1</v>
      </c>
      <c r="Q1713">
        <v>1</v>
      </c>
      <c r="R1713">
        <v>1</v>
      </c>
      <c r="S1713">
        <v>1</v>
      </c>
    </row>
    <row r="1714" spans="1:19" x14ac:dyDescent="0.25">
      <c r="A1714" s="1">
        <v>0.76589454861111106</v>
      </c>
      <c r="B1714" s="145" t="s">
        <v>2</v>
      </c>
      <c r="C1714">
        <v>1713</v>
      </c>
      <c r="D1714">
        <v>0</v>
      </c>
      <c r="E1714">
        <v>1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1</v>
      </c>
      <c r="M1714">
        <v>1</v>
      </c>
      <c r="N1714">
        <v>1</v>
      </c>
      <c r="O1714">
        <v>1</v>
      </c>
      <c r="P1714">
        <v>1</v>
      </c>
      <c r="Q1714">
        <v>1</v>
      </c>
      <c r="R1714">
        <v>1</v>
      </c>
      <c r="S1714">
        <v>1</v>
      </c>
    </row>
    <row r="1715" spans="1:19" x14ac:dyDescent="0.25">
      <c r="A1715" s="1">
        <v>0.76589466435185183</v>
      </c>
      <c r="B1715" s="145" t="s">
        <v>165</v>
      </c>
      <c r="C1715">
        <v>1714</v>
      </c>
      <c r="D1715">
        <v>1</v>
      </c>
      <c r="E1715">
        <v>1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</row>
    <row r="1716" spans="1:19" x14ac:dyDescent="0.25">
      <c r="A1716" s="1">
        <v>0.7658947800925926</v>
      </c>
      <c r="B1716" s="145" t="s">
        <v>165</v>
      </c>
      <c r="C1716">
        <v>1715</v>
      </c>
      <c r="D1716">
        <v>1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1</v>
      </c>
      <c r="M1716">
        <v>1</v>
      </c>
      <c r="N1716">
        <v>1</v>
      </c>
      <c r="O1716">
        <v>1</v>
      </c>
      <c r="P1716">
        <v>1</v>
      </c>
      <c r="Q1716">
        <v>1</v>
      </c>
      <c r="R1716">
        <v>1</v>
      </c>
      <c r="S1716">
        <v>1</v>
      </c>
    </row>
    <row r="1717" spans="1:19" x14ac:dyDescent="0.25">
      <c r="A1717" s="1">
        <v>0.76589489583333337</v>
      </c>
      <c r="B1717" s="145" t="s">
        <v>165</v>
      </c>
      <c r="C1717">
        <v>1716</v>
      </c>
      <c r="D1717">
        <v>1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1</v>
      </c>
      <c r="N1717">
        <v>1</v>
      </c>
      <c r="O1717">
        <v>1</v>
      </c>
      <c r="P1717">
        <v>1</v>
      </c>
      <c r="Q1717">
        <v>1</v>
      </c>
      <c r="R1717">
        <v>1</v>
      </c>
      <c r="S1717">
        <v>1</v>
      </c>
    </row>
    <row r="1718" spans="1:19" x14ac:dyDescent="0.25">
      <c r="A1718" s="1">
        <v>0.76589501157407402</v>
      </c>
      <c r="B1718" s="145" t="s">
        <v>165</v>
      </c>
      <c r="C1718">
        <v>1717</v>
      </c>
      <c r="D1718">
        <v>1</v>
      </c>
      <c r="E1718">
        <v>1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</v>
      </c>
      <c r="N1718">
        <v>1</v>
      </c>
      <c r="O1718">
        <v>1</v>
      </c>
      <c r="P1718">
        <v>1</v>
      </c>
      <c r="Q1718">
        <v>1</v>
      </c>
      <c r="R1718">
        <v>1</v>
      </c>
      <c r="S1718">
        <v>1</v>
      </c>
    </row>
    <row r="1719" spans="1:19" x14ac:dyDescent="0.25">
      <c r="A1719" s="1">
        <v>0.76589512731481479</v>
      </c>
      <c r="B1719" s="145" t="s">
        <v>2</v>
      </c>
      <c r="C1719">
        <v>1718</v>
      </c>
      <c r="D1719">
        <v>0</v>
      </c>
      <c r="E1719">
        <v>1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1</v>
      </c>
      <c r="N1719">
        <v>1</v>
      </c>
      <c r="O1719">
        <v>1</v>
      </c>
      <c r="P1719">
        <v>1</v>
      </c>
      <c r="Q1719">
        <v>1</v>
      </c>
      <c r="R1719">
        <v>1</v>
      </c>
      <c r="S1719">
        <v>1</v>
      </c>
    </row>
    <row r="1720" spans="1:19" x14ac:dyDescent="0.25">
      <c r="A1720" s="1">
        <v>0.76589524305555556</v>
      </c>
      <c r="B1720" s="145" t="s">
        <v>2</v>
      </c>
      <c r="C1720">
        <v>1719</v>
      </c>
      <c r="D1720">
        <v>0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1</v>
      </c>
      <c r="M1720">
        <v>1</v>
      </c>
      <c r="N1720">
        <v>1</v>
      </c>
      <c r="O1720">
        <v>1</v>
      </c>
      <c r="P1720">
        <v>1</v>
      </c>
      <c r="Q1720">
        <v>1</v>
      </c>
      <c r="R1720">
        <v>1</v>
      </c>
      <c r="S1720">
        <v>1</v>
      </c>
    </row>
    <row r="1721" spans="1:19" x14ac:dyDescent="0.25">
      <c r="A1721" s="1">
        <v>0.76589535879629633</v>
      </c>
      <c r="B1721" s="145" t="s">
        <v>165</v>
      </c>
      <c r="C1721">
        <v>1720</v>
      </c>
      <c r="D1721">
        <v>1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</v>
      </c>
      <c r="M1721">
        <v>1</v>
      </c>
      <c r="N1721">
        <v>1</v>
      </c>
      <c r="O1721">
        <v>1</v>
      </c>
      <c r="P1721">
        <v>1</v>
      </c>
      <c r="Q1721">
        <v>1</v>
      </c>
      <c r="R1721">
        <v>1</v>
      </c>
      <c r="S1721">
        <v>1</v>
      </c>
    </row>
    <row r="1722" spans="1:19" x14ac:dyDescent="0.25">
      <c r="A1722" s="1">
        <v>0.76589547453703699</v>
      </c>
      <c r="B1722" s="145" t="s">
        <v>165</v>
      </c>
      <c r="C1722">
        <v>1721</v>
      </c>
      <c r="D1722">
        <v>1</v>
      </c>
      <c r="E1722">
        <v>1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1</v>
      </c>
      <c r="N1722">
        <v>1</v>
      </c>
      <c r="O1722">
        <v>1</v>
      </c>
      <c r="P1722">
        <v>1</v>
      </c>
      <c r="Q1722">
        <v>1</v>
      </c>
      <c r="R1722">
        <v>1</v>
      </c>
      <c r="S1722">
        <v>1</v>
      </c>
    </row>
    <row r="1723" spans="1:19" x14ac:dyDescent="0.25">
      <c r="A1723" s="1">
        <v>0.76589559027777776</v>
      </c>
      <c r="B1723" s="145" t="s">
        <v>165</v>
      </c>
      <c r="C1723">
        <v>1722</v>
      </c>
      <c r="D1723">
        <v>1</v>
      </c>
      <c r="E1723">
        <v>1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1</v>
      </c>
      <c r="N1723">
        <v>1</v>
      </c>
      <c r="O1723">
        <v>1</v>
      </c>
      <c r="P1723">
        <v>1</v>
      </c>
      <c r="Q1723">
        <v>1</v>
      </c>
      <c r="R1723">
        <v>1</v>
      </c>
      <c r="S1723">
        <v>1</v>
      </c>
    </row>
    <row r="1724" spans="1:19" x14ac:dyDescent="0.25">
      <c r="A1724" s="1">
        <v>0.76589570601851853</v>
      </c>
      <c r="B1724" s="145" t="s">
        <v>165</v>
      </c>
      <c r="C1724">
        <v>1723</v>
      </c>
      <c r="D1724">
        <v>1</v>
      </c>
      <c r="E1724">
        <v>1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1</v>
      </c>
      <c r="N1724">
        <v>1</v>
      </c>
      <c r="O1724">
        <v>1</v>
      </c>
      <c r="P1724">
        <v>1</v>
      </c>
      <c r="Q1724">
        <v>1</v>
      </c>
      <c r="R1724">
        <v>1</v>
      </c>
      <c r="S1724">
        <v>1</v>
      </c>
    </row>
    <row r="1725" spans="1:19" x14ac:dyDescent="0.25">
      <c r="A1725" s="1">
        <v>0.7658958217592593</v>
      </c>
      <c r="B1725" s="145" t="s">
        <v>2</v>
      </c>
      <c r="C1725">
        <v>1724</v>
      </c>
      <c r="D1725">
        <v>0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</row>
    <row r="1726" spans="1:19" x14ac:dyDescent="0.25">
      <c r="A1726" s="1">
        <v>0.76589593749999996</v>
      </c>
      <c r="B1726" s="145" t="s">
        <v>2</v>
      </c>
      <c r="C1726">
        <v>1725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1</v>
      </c>
      <c r="N1726">
        <v>1</v>
      </c>
      <c r="O1726">
        <v>1</v>
      </c>
      <c r="P1726">
        <v>1</v>
      </c>
      <c r="Q1726">
        <v>1</v>
      </c>
      <c r="R1726">
        <v>1</v>
      </c>
      <c r="S1726">
        <v>1</v>
      </c>
    </row>
    <row r="1727" spans="1:19" x14ac:dyDescent="0.25">
      <c r="A1727" s="1">
        <v>0.76589605324074073</v>
      </c>
      <c r="B1727" s="145" t="s">
        <v>165</v>
      </c>
      <c r="C1727">
        <v>1726</v>
      </c>
      <c r="D1727">
        <v>1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</row>
    <row r="1728" spans="1:19" x14ac:dyDescent="0.25">
      <c r="A1728" s="1">
        <v>0.7658961689814815</v>
      </c>
      <c r="B1728" s="145" t="s">
        <v>165</v>
      </c>
      <c r="C1728">
        <v>1727</v>
      </c>
      <c r="D1728">
        <v>1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</v>
      </c>
      <c r="N1728">
        <v>1</v>
      </c>
      <c r="O1728">
        <v>1</v>
      </c>
      <c r="P1728">
        <v>1</v>
      </c>
      <c r="Q1728">
        <v>1</v>
      </c>
      <c r="R1728">
        <v>1</v>
      </c>
      <c r="S1728">
        <v>1</v>
      </c>
    </row>
    <row r="1729" spans="1:19" x14ac:dyDescent="0.25">
      <c r="A1729" s="1">
        <v>0.76589628472222226</v>
      </c>
      <c r="B1729" s="145" t="s">
        <v>165</v>
      </c>
      <c r="C1729">
        <v>1728</v>
      </c>
      <c r="D1729">
        <v>1</v>
      </c>
      <c r="E1729">
        <v>1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1</v>
      </c>
      <c r="N1729">
        <v>1</v>
      </c>
      <c r="O1729">
        <v>1</v>
      </c>
      <c r="P1729">
        <v>1</v>
      </c>
      <c r="Q1729">
        <v>1</v>
      </c>
      <c r="R1729">
        <v>1</v>
      </c>
      <c r="S1729">
        <v>1</v>
      </c>
    </row>
    <row r="1730" spans="1:19" x14ac:dyDescent="0.25">
      <c r="A1730" s="1">
        <v>0.76589640046296292</v>
      </c>
      <c r="B1730" s="145" t="s">
        <v>165</v>
      </c>
      <c r="C1730">
        <v>1729</v>
      </c>
      <c r="D1730">
        <v>1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1</v>
      </c>
      <c r="M1730">
        <v>1</v>
      </c>
      <c r="N1730">
        <v>1</v>
      </c>
      <c r="O1730">
        <v>1</v>
      </c>
      <c r="P1730">
        <v>1</v>
      </c>
      <c r="Q1730">
        <v>1</v>
      </c>
      <c r="R1730">
        <v>1</v>
      </c>
      <c r="S1730">
        <v>1</v>
      </c>
    </row>
    <row r="1731" spans="1:19" x14ac:dyDescent="0.25">
      <c r="A1731" s="1">
        <v>0.76589651620370369</v>
      </c>
      <c r="B1731" s="145" t="s">
        <v>2</v>
      </c>
      <c r="C1731">
        <v>1730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1</v>
      </c>
      <c r="O1731">
        <v>1</v>
      </c>
      <c r="P1731">
        <v>1</v>
      </c>
      <c r="Q1731">
        <v>1</v>
      </c>
      <c r="R1731">
        <v>1</v>
      </c>
      <c r="S1731">
        <v>1</v>
      </c>
    </row>
    <row r="1732" spans="1:19" x14ac:dyDescent="0.25">
      <c r="A1732" s="1">
        <v>0.76589663194444446</v>
      </c>
      <c r="B1732" s="145" t="s">
        <v>2</v>
      </c>
      <c r="C1732">
        <v>1731</v>
      </c>
      <c r="D1732">
        <v>0</v>
      </c>
      <c r="E1732">
        <v>1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1</v>
      </c>
      <c r="N1732">
        <v>1</v>
      </c>
      <c r="O1732">
        <v>1</v>
      </c>
      <c r="P1732">
        <v>1</v>
      </c>
      <c r="Q1732">
        <v>1</v>
      </c>
      <c r="R1732">
        <v>1</v>
      </c>
      <c r="S1732">
        <v>1</v>
      </c>
    </row>
    <row r="1733" spans="1:19" x14ac:dyDescent="0.25">
      <c r="A1733" s="1">
        <v>0.76589674768518523</v>
      </c>
      <c r="B1733" s="145" t="s">
        <v>165</v>
      </c>
      <c r="C1733">
        <v>1732</v>
      </c>
      <c r="D1733">
        <v>1</v>
      </c>
      <c r="E1733">
        <v>1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1</v>
      </c>
      <c r="N1733">
        <v>1</v>
      </c>
      <c r="O1733">
        <v>1</v>
      </c>
      <c r="P1733">
        <v>1</v>
      </c>
      <c r="Q1733">
        <v>1</v>
      </c>
      <c r="R1733">
        <v>1</v>
      </c>
      <c r="S1733">
        <v>1</v>
      </c>
    </row>
    <row r="1734" spans="1:19" x14ac:dyDescent="0.25">
      <c r="A1734" s="1">
        <v>0.76589686342592589</v>
      </c>
      <c r="B1734" s="145" t="s">
        <v>165</v>
      </c>
      <c r="C1734">
        <v>1733</v>
      </c>
      <c r="D1734">
        <v>1</v>
      </c>
      <c r="E1734">
        <v>1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1</v>
      </c>
      <c r="M1734">
        <v>1</v>
      </c>
      <c r="N1734">
        <v>1</v>
      </c>
      <c r="O1734">
        <v>1</v>
      </c>
      <c r="P1734">
        <v>1</v>
      </c>
      <c r="Q1734">
        <v>1</v>
      </c>
      <c r="R1734">
        <v>1</v>
      </c>
      <c r="S1734">
        <v>1</v>
      </c>
    </row>
    <row r="1735" spans="1:19" x14ac:dyDescent="0.25">
      <c r="A1735" s="1">
        <v>0.76589697916666666</v>
      </c>
      <c r="B1735" s="145" t="s">
        <v>165</v>
      </c>
      <c r="C1735">
        <v>1734</v>
      </c>
      <c r="D1735">
        <v>1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1</v>
      </c>
      <c r="P1735">
        <v>1</v>
      </c>
      <c r="Q1735">
        <v>1</v>
      </c>
      <c r="R1735">
        <v>1</v>
      </c>
      <c r="S1735">
        <v>1</v>
      </c>
    </row>
    <row r="1736" spans="1:19" x14ac:dyDescent="0.25">
      <c r="A1736" s="1">
        <v>0.76589709490740743</v>
      </c>
      <c r="B1736" s="145" t="s">
        <v>165</v>
      </c>
      <c r="C1736">
        <v>1735</v>
      </c>
      <c r="D1736">
        <v>1</v>
      </c>
      <c r="E1736">
        <v>1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</v>
      </c>
      <c r="N1736">
        <v>1</v>
      </c>
      <c r="O1736">
        <v>1</v>
      </c>
      <c r="P1736">
        <v>1</v>
      </c>
      <c r="Q1736">
        <v>1</v>
      </c>
      <c r="R1736">
        <v>1</v>
      </c>
      <c r="S1736">
        <v>1</v>
      </c>
    </row>
    <row r="1737" spans="1:19" x14ac:dyDescent="0.25">
      <c r="A1737" s="1">
        <v>0.7658972106481482</v>
      </c>
      <c r="B1737" s="145" t="s">
        <v>2</v>
      </c>
      <c r="C1737">
        <v>1736</v>
      </c>
      <c r="D1737">
        <v>0</v>
      </c>
      <c r="E1737">
        <v>1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1</v>
      </c>
      <c r="N1737">
        <v>1</v>
      </c>
      <c r="O1737">
        <v>1</v>
      </c>
      <c r="P1737">
        <v>1</v>
      </c>
      <c r="Q1737">
        <v>1</v>
      </c>
      <c r="R1737">
        <v>1</v>
      </c>
      <c r="S1737">
        <v>1</v>
      </c>
    </row>
    <row r="1738" spans="1:19" x14ac:dyDescent="0.25">
      <c r="A1738" s="1">
        <v>0.76589732638888885</v>
      </c>
      <c r="B1738" s="145" t="s">
        <v>2</v>
      </c>
      <c r="C1738">
        <v>1737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1</v>
      </c>
      <c r="N1738">
        <v>1</v>
      </c>
      <c r="O1738">
        <v>1</v>
      </c>
      <c r="P1738">
        <v>1</v>
      </c>
      <c r="Q1738">
        <v>1</v>
      </c>
      <c r="R1738">
        <v>1</v>
      </c>
      <c r="S1738">
        <v>1</v>
      </c>
    </row>
    <row r="1739" spans="1:19" x14ac:dyDescent="0.25">
      <c r="A1739" s="1">
        <v>0.76589744212962962</v>
      </c>
      <c r="B1739" s="145" t="s">
        <v>165</v>
      </c>
      <c r="C1739">
        <v>1738</v>
      </c>
      <c r="D1739">
        <v>1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</v>
      </c>
      <c r="N1739">
        <v>1</v>
      </c>
      <c r="O1739">
        <v>1</v>
      </c>
      <c r="P1739">
        <v>1</v>
      </c>
      <c r="Q1739">
        <v>1</v>
      </c>
      <c r="R1739">
        <v>1</v>
      </c>
      <c r="S1739">
        <v>1</v>
      </c>
    </row>
    <row r="1740" spans="1:19" x14ac:dyDescent="0.25">
      <c r="A1740" s="1">
        <v>0.76589755787037039</v>
      </c>
      <c r="B1740" s="145" t="s">
        <v>165</v>
      </c>
      <c r="C1740">
        <v>1739</v>
      </c>
      <c r="D1740">
        <v>1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1</v>
      </c>
      <c r="M1740">
        <v>1</v>
      </c>
      <c r="N1740">
        <v>1</v>
      </c>
      <c r="O1740">
        <v>1</v>
      </c>
      <c r="P1740">
        <v>1</v>
      </c>
      <c r="Q1740">
        <v>1</v>
      </c>
      <c r="R1740">
        <v>1</v>
      </c>
      <c r="S1740">
        <v>1</v>
      </c>
    </row>
    <row r="1741" spans="1:19" x14ac:dyDescent="0.25">
      <c r="A1741" s="1">
        <v>0.76589767361111116</v>
      </c>
      <c r="B1741" s="145" t="s">
        <v>165</v>
      </c>
      <c r="C1741">
        <v>1740</v>
      </c>
      <c r="D1741">
        <v>1</v>
      </c>
      <c r="E1741">
        <v>1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1</v>
      </c>
      <c r="N1741">
        <v>1</v>
      </c>
      <c r="O1741">
        <v>1</v>
      </c>
      <c r="P1741">
        <v>1</v>
      </c>
      <c r="Q1741">
        <v>1</v>
      </c>
      <c r="R1741">
        <v>1</v>
      </c>
      <c r="S1741">
        <v>1</v>
      </c>
    </row>
    <row r="1742" spans="1:19" x14ac:dyDescent="0.25">
      <c r="A1742" s="1">
        <v>0.76589778935185182</v>
      </c>
      <c r="B1742" s="145" t="s">
        <v>165</v>
      </c>
      <c r="C1742">
        <v>1741</v>
      </c>
      <c r="D1742">
        <v>1</v>
      </c>
      <c r="E1742">
        <v>1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1</v>
      </c>
      <c r="M1742">
        <v>1</v>
      </c>
      <c r="N1742">
        <v>1</v>
      </c>
      <c r="O1742">
        <v>1</v>
      </c>
      <c r="P1742">
        <v>1</v>
      </c>
      <c r="Q1742">
        <v>1</v>
      </c>
      <c r="R1742">
        <v>1</v>
      </c>
      <c r="S1742">
        <v>1</v>
      </c>
    </row>
    <row r="1743" spans="1:19" x14ac:dyDescent="0.25">
      <c r="A1743" s="1">
        <v>0.76589790509259259</v>
      </c>
      <c r="B1743" s="145" t="s">
        <v>2</v>
      </c>
      <c r="C1743">
        <v>1742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1</v>
      </c>
      <c r="N1743">
        <v>1</v>
      </c>
      <c r="O1743">
        <v>1</v>
      </c>
      <c r="P1743">
        <v>1</v>
      </c>
      <c r="Q1743">
        <v>1</v>
      </c>
      <c r="R1743">
        <v>1</v>
      </c>
      <c r="S1743">
        <v>1</v>
      </c>
    </row>
    <row r="1744" spans="1:19" x14ac:dyDescent="0.25">
      <c r="A1744" s="1">
        <v>0.76589802083333336</v>
      </c>
      <c r="B1744" s="145" t="s">
        <v>2</v>
      </c>
      <c r="C1744">
        <v>1743</v>
      </c>
      <c r="D1744">
        <v>0</v>
      </c>
      <c r="E1744">
        <v>1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1</v>
      </c>
      <c r="M1744">
        <v>1</v>
      </c>
      <c r="N1744">
        <v>1</v>
      </c>
      <c r="O1744">
        <v>1</v>
      </c>
      <c r="P1744">
        <v>1</v>
      </c>
      <c r="Q1744">
        <v>1</v>
      </c>
      <c r="R1744">
        <v>1</v>
      </c>
      <c r="S1744">
        <v>1</v>
      </c>
    </row>
    <row r="1745" spans="1:19" x14ac:dyDescent="0.25">
      <c r="A1745" s="1">
        <v>0.76589813657407413</v>
      </c>
      <c r="B1745" s="145" t="s">
        <v>165</v>
      </c>
      <c r="C1745">
        <v>1744</v>
      </c>
      <c r="D1745">
        <v>1</v>
      </c>
      <c r="E1745">
        <v>1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</v>
      </c>
      <c r="N1745">
        <v>1</v>
      </c>
      <c r="O1745">
        <v>1</v>
      </c>
      <c r="P1745">
        <v>1</v>
      </c>
      <c r="Q1745">
        <v>1</v>
      </c>
      <c r="R1745">
        <v>1</v>
      </c>
      <c r="S1745">
        <v>1</v>
      </c>
    </row>
    <row r="1746" spans="1:19" x14ac:dyDescent="0.25">
      <c r="A1746" s="1">
        <v>0.76589825231481479</v>
      </c>
      <c r="B1746" s="145" t="s">
        <v>165</v>
      </c>
      <c r="C1746">
        <v>1745</v>
      </c>
      <c r="D1746">
        <v>1</v>
      </c>
      <c r="E1746">
        <v>1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1</v>
      </c>
      <c r="R1746">
        <v>1</v>
      </c>
      <c r="S1746">
        <v>1</v>
      </c>
    </row>
    <row r="1747" spans="1:19" x14ac:dyDescent="0.25">
      <c r="A1747" s="1">
        <v>0.76589836805555556</v>
      </c>
      <c r="B1747" s="145" t="s">
        <v>165</v>
      </c>
      <c r="C1747">
        <v>1746</v>
      </c>
      <c r="D1747">
        <v>1</v>
      </c>
      <c r="E1747">
        <v>1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</v>
      </c>
      <c r="N1747">
        <v>1</v>
      </c>
      <c r="O1747">
        <v>1</v>
      </c>
      <c r="P1747">
        <v>1</v>
      </c>
      <c r="Q1747">
        <v>1</v>
      </c>
      <c r="R1747">
        <v>1</v>
      </c>
      <c r="S1747">
        <v>1</v>
      </c>
    </row>
    <row r="1748" spans="1:19" x14ac:dyDescent="0.25">
      <c r="A1748" s="1">
        <v>0.76589849537037036</v>
      </c>
      <c r="B1748" s="145" t="s">
        <v>165</v>
      </c>
      <c r="C1748">
        <v>1747</v>
      </c>
      <c r="D1748">
        <v>1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1</v>
      </c>
      <c r="N1748">
        <v>1</v>
      </c>
      <c r="O1748">
        <v>1</v>
      </c>
      <c r="P1748">
        <v>1</v>
      </c>
      <c r="Q1748">
        <v>1</v>
      </c>
      <c r="R1748">
        <v>1</v>
      </c>
      <c r="S1748">
        <v>1</v>
      </c>
    </row>
    <row r="1749" spans="1:19" x14ac:dyDescent="0.25">
      <c r="A1749" s="1">
        <v>0.76589859953703698</v>
      </c>
      <c r="B1749" s="145" t="s">
        <v>2</v>
      </c>
      <c r="C1749">
        <v>1748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1</v>
      </c>
      <c r="N1749">
        <v>1</v>
      </c>
      <c r="O1749">
        <v>1</v>
      </c>
      <c r="P1749">
        <v>1</v>
      </c>
      <c r="Q1749">
        <v>1</v>
      </c>
      <c r="R1749">
        <v>1</v>
      </c>
      <c r="S1749">
        <v>1</v>
      </c>
    </row>
    <row r="1750" spans="1:19" x14ac:dyDescent="0.25">
      <c r="A1750" s="1">
        <v>0.76589871527777775</v>
      </c>
      <c r="B1750" s="145" t="s">
        <v>2</v>
      </c>
      <c r="C1750">
        <v>1749</v>
      </c>
      <c r="D1750">
        <v>0</v>
      </c>
      <c r="E1750">
        <v>1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1</v>
      </c>
      <c r="N1750">
        <v>1</v>
      </c>
      <c r="O1750">
        <v>1</v>
      </c>
      <c r="P1750">
        <v>1</v>
      </c>
      <c r="Q1750">
        <v>1</v>
      </c>
      <c r="R1750">
        <v>1</v>
      </c>
      <c r="S1750">
        <v>1</v>
      </c>
    </row>
    <row r="1751" spans="1:19" x14ac:dyDescent="0.25">
      <c r="A1751" s="1">
        <v>0.76589883101851852</v>
      </c>
      <c r="B1751" s="145" t="s">
        <v>165</v>
      </c>
      <c r="C1751">
        <v>1750</v>
      </c>
      <c r="D1751">
        <v>1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1</v>
      </c>
      <c r="N1751">
        <v>1</v>
      </c>
      <c r="O1751">
        <v>1</v>
      </c>
      <c r="P1751">
        <v>1</v>
      </c>
      <c r="Q1751">
        <v>1</v>
      </c>
      <c r="R1751">
        <v>1</v>
      </c>
      <c r="S1751">
        <v>1</v>
      </c>
    </row>
    <row r="1752" spans="1:19" x14ac:dyDescent="0.25">
      <c r="A1752" s="1">
        <v>0.76589894675925929</v>
      </c>
      <c r="B1752" s="145" t="s">
        <v>165</v>
      </c>
      <c r="C1752">
        <v>1751</v>
      </c>
      <c r="D1752">
        <v>1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1</v>
      </c>
      <c r="M1752">
        <v>1</v>
      </c>
      <c r="N1752">
        <v>1</v>
      </c>
      <c r="O1752">
        <v>1</v>
      </c>
      <c r="P1752">
        <v>1</v>
      </c>
      <c r="Q1752">
        <v>1</v>
      </c>
      <c r="R1752">
        <v>1</v>
      </c>
      <c r="S1752">
        <v>1</v>
      </c>
    </row>
    <row r="1753" spans="1:19" x14ac:dyDescent="0.25">
      <c r="A1753" s="1">
        <v>0.76589906249999995</v>
      </c>
      <c r="B1753" s="145" t="s">
        <v>165</v>
      </c>
      <c r="C1753">
        <v>1752</v>
      </c>
      <c r="D1753">
        <v>1</v>
      </c>
      <c r="E1753">
        <v>1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1</v>
      </c>
      <c r="M1753">
        <v>1</v>
      </c>
      <c r="N1753">
        <v>1</v>
      </c>
      <c r="O1753">
        <v>1</v>
      </c>
      <c r="P1753">
        <v>1</v>
      </c>
      <c r="Q1753">
        <v>1</v>
      </c>
      <c r="R1753">
        <v>1</v>
      </c>
      <c r="S1753">
        <v>1</v>
      </c>
    </row>
    <row r="1754" spans="1:19" x14ac:dyDescent="0.25">
      <c r="A1754" s="1">
        <v>0.76589916666666669</v>
      </c>
      <c r="B1754" s="145" t="s">
        <v>165</v>
      </c>
      <c r="C1754">
        <v>1753</v>
      </c>
      <c r="D1754">
        <v>1</v>
      </c>
      <c r="E1754">
        <v>1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1</v>
      </c>
      <c r="N1754">
        <v>1</v>
      </c>
      <c r="O1754">
        <v>1</v>
      </c>
      <c r="P1754">
        <v>1</v>
      </c>
      <c r="Q1754">
        <v>1</v>
      </c>
      <c r="R1754">
        <v>1</v>
      </c>
      <c r="S1754">
        <v>1</v>
      </c>
    </row>
    <row r="1755" spans="1:19" x14ac:dyDescent="0.25">
      <c r="A1755" s="1">
        <v>0.76589939814814811</v>
      </c>
      <c r="B1755" s="145" t="s">
        <v>2</v>
      </c>
      <c r="C1755">
        <v>1754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</v>
      </c>
      <c r="N1755">
        <v>1</v>
      </c>
      <c r="O1755">
        <v>1</v>
      </c>
      <c r="P1755">
        <v>1</v>
      </c>
      <c r="Q1755">
        <v>1</v>
      </c>
      <c r="R1755">
        <v>1</v>
      </c>
      <c r="S1755">
        <v>1</v>
      </c>
    </row>
    <row r="1756" spans="1:19" x14ac:dyDescent="0.25">
      <c r="A1756" s="1">
        <v>0.76589951388888888</v>
      </c>
      <c r="B1756" s="145" t="s">
        <v>165</v>
      </c>
      <c r="C1756">
        <v>1755</v>
      </c>
      <c r="D1756">
        <v>1</v>
      </c>
      <c r="E1756">
        <v>1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1</v>
      </c>
      <c r="N1756">
        <v>1</v>
      </c>
      <c r="O1756">
        <v>1</v>
      </c>
      <c r="P1756">
        <v>1</v>
      </c>
      <c r="Q1756">
        <v>1</v>
      </c>
      <c r="R1756">
        <v>1</v>
      </c>
      <c r="S1756">
        <v>1</v>
      </c>
    </row>
    <row r="1757" spans="1:19" x14ac:dyDescent="0.25">
      <c r="A1757" s="1">
        <v>0.76589962962962965</v>
      </c>
      <c r="B1757" s="145" t="s">
        <v>165</v>
      </c>
      <c r="C1757">
        <v>1756</v>
      </c>
      <c r="D1757">
        <v>1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1</v>
      </c>
      <c r="N1757">
        <v>1</v>
      </c>
      <c r="O1757">
        <v>1</v>
      </c>
      <c r="P1757">
        <v>1</v>
      </c>
      <c r="Q1757">
        <v>1</v>
      </c>
      <c r="R1757">
        <v>1</v>
      </c>
      <c r="S1757">
        <v>1</v>
      </c>
    </row>
    <row r="1758" spans="1:19" x14ac:dyDescent="0.25">
      <c r="A1758" s="1">
        <v>0.76589974537037042</v>
      </c>
      <c r="B1758" s="145" t="s">
        <v>165</v>
      </c>
      <c r="C1758">
        <v>1757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1</v>
      </c>
      <c r="N1758">
        <v>1</v>
      </c>
      <c r="O1758">
        <v>1</v>
      </c>
      <c r="P1758">
        <v>1</v>
      </c>
      <c r="Q1758">
        <v>1</v>
      </c>
      <c r="R1758">
        <v>1</v>
      </c>
      <c r="S1758">
        <v>1</v>
      </c>
    </row>
    <row r="1759" spans="1:19" x14ac:dyDescent="0.25">
      <c r="A1759" s="1">
        <v>0.76589986111111108</v>
      </c>
      <c r="B1759" s="145" t="s">
        <v>165</v>
      </c>
      <c r="C1759">
        <v>1758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1</v>
      </c>
      <c r="N1759">
        <v>1</v>
      </c>
      <c r="O1759">
        <v>1</v>
      </c>
      <c r="P1759">
        <v>1</v>
      </c>
      <c r="Q1759">
        <v>1</v>
      </c>
      <c r="R1759">
        <v>1</v>
      </c>
      <c r="S1759">
        <v>1</v>
      </c>
    </row>
    <row r="1760" spans="1:19" x14ac:dyDescent="0.25">
      <c r="A1760" s="1">
        <v>0.76589997685185185</v>
      </c>
      <c r="B1760" s="145" t="s">
        <v>2</v>
      </c>
      <c r="C1760">
        <v>1759</v>
      </c>
      <c r="D1760">
        <v>0</v>
      </c>
      <c r="E1760">
        <v>1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</v>
      </c>
      <c r="N1760">
        <v>1</v>
      </c>
      <c r="O1760">
        <v>1</v>
      </c>
      <c r="P1760">
        <v>1</v>
      </c>
      <c r="Q1760">
        <v>1</v>
      </c>
      <c r="R1760">
        <v>1</v>
      </c>
      <c r="S1760">
        <v>1</v>
      </c>
    </row>
    <row r="1761" spans="1:19" x14ac:dyDescent="0.25">
      <c r="A1761" s="1">
        <v>0.76590009259259262</v>
      </c>
      <c r="B1761" s="145" t="s">
        <v>2</v>
      </c>
      <c r="C1761">
        <v>1760</v>
      </c>
      <c r="D1761">
        <v>0</v>
      </c>
      <c r="E1761">
        <v>1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1</v>
      </c>
      <c r="O1761">
        <v>1</v>
      </c>
      <c r="P1761">
        <v>1</v>
      </c>
      <c r="Q1761">
        <v>1</v>
      </c>
      <c r="R1761">
        <v>1</v>
      </c>
      <c r="S1761">
        <v>1</v>
      </c>
    </row>
    <row r="1762" spans="1:19" x14ac:dyDescent="0.25">
      <c r="A1762" s="1">
        <v>0.76590020833333339</v>
      </c>
      <c r="B1762" s="145" t="s">
        <v>165</v>
      </c>
      <c r="C1762">
        <v>1761</v>
      </c>
      <c r="D1762">
        <v>1</v>
      </c>
      <c r="E1762">
        <v>1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1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1</v>
      </c>
    </row>
    <row r="1763" spans="1:19" x14ac:dyDescent="0.25">
      <c r="A1763" s="1">
        <v>0.76590032407407405</v>
      </c>
      <c r="B1763" s="145" t="s">
        <v>165</v>
      </c>
      <c r="C1763">
        <v>1762</v>
      </c>
      <c r="D1763">
        <v>1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1</v>
      </c>
      <c r="N1763">
        <v>1</v>
      </c>
      <c r="O1763">
        <v>1</v>
      </c>
      <c r="P1763">
        <v>1</v>
      </c>
      <c r="Q1763">
        <v>1</v>
      </c>
      <c r="R1763">
        <v>1</v>
      </c>
      <c r="S1763">
        <v>1</v>
      </c>
    </row>
    <row r="1764" spans="1:19" x14ac:dyDescent="0.25">
      <c r="A1764" s="1">
        <v>0.76590043981481482</v>
      </c>
      <c r="B1764" s="145" t="s">
        <v>165</v>
      </c>
      <c r="C1764">
        <v>1763</v>
      </c>
      <c r="D1764">
        <v>1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1</v>
      </c>
      <c r="O1764">
        <v>1</v>
      </c>
      <c r="P1764">
        <v>1</v>
      </c>
      <c r="Q1764">
        <v>1</v>
      </c>
      <c r="R1764">
        <v>1</v>
      </c>
      <c r="S1764">
        <v>1</v>
      </c>
    </row>
    <row r="1765" spans="1:19" x14ac:dyDescent="0.25">
      <c r="A1765" s="1">
        <v>0.76590055555555558</v>
      </c>
      <c r="B1765" s="145" t="s">
        <v>165</v>
      </c>
      <c r="C1765">
        <v>1764</v>
      </c>
      <c r="D1765">
        <v>1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1</v>
      </c>
      <c r="N1765">
        <v>1</v>
      </c>
      <c r="O1765">
        <v>1</v>
      </c>
      <c r="P1765">
        <v>1</v>
      </c>
      <c r="Q1765">
        <v>1</v>
      </c>
      <c r="R1765">
        <v>1</v>
      </c>
      <c r="S1765">
        <v>1</v>
      </c>
    </row>
    <row r="1766" spans="1:19" x14ac:dyDescent="0.25">
      <c r="A1766" s="1">
        <v>0.76590067129629624</v>
      </c>
      <c r="B1766" s="145" t="s">
        <v>2</v>
      </c>
      <c r="C1766">
        <v>1765</v>
      </c>
      <c r="D1766">
        <v>0</v>
      </c>
      <c r="E1766">
        <v>1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1</v>
      </c>
      <c r="N1766">
        <v>1</v>
      </c>
      <c r="O1766">
        <v>1</v>
      </c>
      <c r="P1766">
        <v>1</v>
      </c>
      <c r="Q1766">
        <v>1</v>
      </c>
      <c r="R1766">
        <v>1</v>
      </c>
      <c r="S1766">
        <v>1</v>
      </c>
    </row>
    <row r="1767" spans="1:19" x14ac:dyDescent="0.25">
      <c r="A1767" s="1">
        <v>0.76590078703703701</v>
      </c>
      <c r="B1767" s="145" t="s">
        <v>2</v>
      </c>
      <c r="C1767">
        <v>1766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1</v>
      </c>
      <c r="O1767">
        <v>1</v>
      </c>
      <c r="P1767">
        <v>1</v>
      </c>
      <c r="Q1767">
        <v>1</v>
      </c>
      <c r="R1767">
        <v>1</v>
      </c>
      <c r="S1767">
        <v>1</v>
      </c>
    </row>
    <row r="1768" spans="1:19" x14ac:dyDescent="0.25">
      <c r="A1768" s="1">
        <v>0.76590090277777778</v>
      </c>
      <c r="B1768" s="145" t="s">
        <v>165</v>
      </c>
      <c r="C1768">
        <v>1767</v>
      </c>
      <c r="D1768">
        <v>1</v>
      </c>
      <c r="E1768">
        <v>1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1</v>
      </c>
      <c r="N1768">
        <v>1</v>
      </c>
      <c r="O1768">
        <v>1</v>
      </c>
      <c r="P1768">
        <v>1</v>
      </c>
      <c r="Q1768">
        <v>1</v>
      </c>
      <c r="R1768">
        <v>1</v>
      </c>
      <c r="S1768">
        <v>1</v>
      </c>
    </row>
    <row r="1769" spans="1:19" x14ac:dyDescent="0.25">
      <c r="A1769" s="1">
        <v>0.76590101851851855</v>
      </c>
      <c r="B1769" s="145" t="s">
        <v>165</v>
      </c>
      <c r="C1769">
        <v>1768</v>
      </c>
      <c r="D1769">
        <v>1</v>
      </c>
      <c r="E1769">
        <v>1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1</v>
      </c>
      <c r="N1769">
        <v>1</v>
      </c>
      <c r="O1769">
        <v>1</v>
      </c>
      <c r="P1769">
        <v>1</v>
      </c>
      <c r="Q1769">
        <v>1</v>
      </c>
      <c r="R1769">
        <v>1</v>
      </c>
      <c r="S1769">
        <v>1</v>
      </c>
    </row>
    <row r="1770" spans="1:19" x14ac:dyDescent="0.25">
      <c r="A1770" s="1">
        <v>0.76590113425925921</v>
      </c>
      <c r="B1770" s="145" t="s">
        <v>165</v>
      </c>
      <c r="C1770">
        <v>1769</v>
      </c>
      <c r="D1770">
        <v>1</v>
      </c>
      <c r="E1770">
        <v>1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1</v>
      </c>
      <c r="N1770">
        <v>1</v>
      </c>
      <c r="O1770">
        <v>1</v>
      </c>
      <c r="P1770">
        <v>1</v>
      </c>
      <c r="Q1770">
        <v>1</v>
      </c>
      <c r="R1770">
        <v>1</v>
      </c>
      <c r="S1770">
        <v>1</v>
      </c>
    </row>
    <row r="1771" spans="1:19" x14ac:dyDescent="0.25">
      <c r="A1771" s="1">
        <v>0.76590124999999998</v>
      </c>
      <c r="B1771" s="145" t="s">
        <v>165</v>
      </c>
      <c r="C1771">
        <v>1770</v>
      </c>
      <c r="D1771">
        <v>1</v>
      </c>
      <c r="E1771">
        <v>1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</row>
    <row r="1772" spans="1:19" x14ac:dyDescent="0.25">
      <c r="A1772" s="1">
        <v>0.76590136574074075</v>
      </c>
      <c r="B1772" s="145" t="s">
        <v>2</v>
      </c>
      <c r="C1772">
        <v>1771</v>
      </c>
      <c r="D1772">
        <v>0</v>
      </c>
      <c r="E1772">
        <v>1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1</v>
      </c>
      <c r="N1772">
        <v>1</v>
      </c>
      <c r="O1772">
        <v>1</v>
      </c>
      <c r="P1772">
        <v>1</v>
      </c>
      <c r="Q1772">
        <v>1</v>
      </c>
      <c r="R1772">
        <v>1</v>
      </c>
      <c r="S1772">
        <v>1</v>
      </c>
    </row>
    <row r="1773" spans="1:19" x14ac:dyDescent="0.25">
      <c r="A1773" s="1">
        <v>0.76590148148148152</v>
      </c>
      <c r="B1773" s="145" t="s">
        <v>2</v>
      </c>
      <c r="C1773">
        <v>1772</v>
      </c>
      <c r="D1773">
        <v>0</v>
      </c>
      <c r="E1773">
        <v>1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1</v>
      </c>
      <c r="N1773">
        <v>1</v>
      </c>
      <c r="O1773">
        <v>1</v>
      </c>
      <c r="P1773">
        <v>1</v>
      </c>
      <c r="Q1773">
        <v>1</v>
      </c>
      <c r="R1773">
        <v>1</v>
      </c>
      <c r="S1773">
        <v>1</v>
      </c>
    </row>
    <row r="1774" spans="1:19" x14ac:dyDescent="0.25">
      <c r="A1774" s="1">
        <v>0.76590159722222217</v>
      </c>
      <c r="B1774" s="145" t="s">
        <v>165</v>
      </c>
      <c r="C1774">
        <v>1773</v>
      </c>
      <c r="D1774">
        <v>1</v>
      </c>
      <c r="E1774">
        <v>1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1</v>
      </c>
      <c r="N1774">
        <v>1</v>
      </c>
      <c r="O1774">
        <v>1</v>
      </c>
      <c r="P1774">
        <v>1</v>
      </c>
      <c r="Q1774">
        <v>1</v>
      </c>
      <c r="R1774">
        <v>1</v>
      </c>
      <c r="S1774">
        <v>1</v>
      </c>
    </row>
    <row r="1775" spans="1:19" x14ac:dyDescent="0.25">
      <c r="A1775" s="1">
        <v>0.76590171296296294</v>
      </c>
      <c r="B1775" s="145" t="s">
        <v>165</v>
      </c>
      <c r="C1775">
        <v>1774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1</v>
      </c>
      <c r="N1775">
        <v>1</v>
      </c>
      <c r="O1775">
        <v>1</v>
      </c>
      <c r="P1775">
        <v>1</v>
      </c>
      <c r="Q1775">
        <v>1</v>
      </c>
      <c r="R1775">
        <v>1</v>
      </c>
      <c r="S1775">
        <v>1</v>
      </c>
    </row>
    <row r="1776" spans="1:19" x14ac:dyDescent="0.25">
      <c r="A1776" s="1">
        <v>0.76590182870370371</v>
      </c>
      <c r="B1776" s="145" t="s">
        <v>165</v>
      </c>
      <c r="C1776">
        <v>1775</v>
      </c>
      <c r="D1776">
        <v>1</v>
      </c>
      <c r="E1776">
        <v>1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1</v>
      </c>
      <c r="N1776">
        <v>1</v>
      </c>
      <c r="O1776">
        <v>1</v>
      </c>
      <c r="P1776">
        <v>1</v>
      </c>
      <c r="Q1776">
        <v>1</v>
      </c>
      <c r="R1776">
        <v>1</v>
      </c>
      <c r="S1776">
        <v>1</v>
      </c>
    </row>
    <row r="1777" spans="1:19" x14ac:dyDescent="0.25">
      <c r="A1777" s="1">
        <v>0.76590194444444448</v>
      </c>
      <c r="B1777" s="145" t="s">
        <v>165</v>
      </c>
      <c r="C1777">
        <v>1776</v>
      </c>
      <c r="D1777">
        <v>1</v>
      </c>
      <c r="E1777">
        <v>1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1</v>
      </c>
      <c r="N1777">
        <v>1</v>
      </c>
      <c r="O1777">
        <v>1</v>
      </c>
      <c r="P1777">
        <v>1</v>
      </c>
      <c r="Q1777">
        <v>1</v>
      </c>
      <c r="R1777">
        <v>1</v>
      </c>
      <c r="S1777">
        <v>1</v>
      </c>
    </row>
    <row r="1778" spans="1:19" x14ac:dyDescent="0.25">
      <c r="A1778" s="1">
        <v>0.76590206018518514</v>
      </c>
      <c r="B1778" s="145" t="s">
        <v>2</v>
      </c>
      <c r="C1778">
        <v>1777</v>
      </c>
      <c r="D1778">
        <v>0</v>
      </c>
      <c r="E1778">
        <v>1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1</v>
      </c>
      <c r="N1778">
        <v>1</v>
      </c>
      <c r="O1778">
        <v>1</v>
      </c>
      <c r="P1778">
        <v>1</v>
      </c>
      <c r="Q1778">
        <v>1</v>
      </c>
      <c r="R1778">
        <v>1</v>
      </c>
      <c r="S1778">
        <v>1</v>
      </c>
    </row>
    <row r="1779" spans="1:19" x14ac:dyDescent="0.25">
      <c r="A1779" s="1">
        <v>0.76590217592592591</v>
      </c>
      <c r="B1779" s="145" t="s">
        <v>2</v>
      </c>
      <c r="C1779">
        <v>1778</v>
      </c>
      <c r="D1779">
        <v>0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</row>
    <row r="1780" spans="1:19" x14ac:dyDescent="0.25">
      <c r="A1780" s="1">
        <v>0.76590229166666668</v>
      </c>
      <c r="B1780" s="145" t="s">
        <v>165</v>
      </c>
      <c r="C1780">
        <v>1779</v>
      </c>
      <c r="D1780">
        <v>1</v>
      </c>
      <c r="E1780">
        <v>1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</row>
    <row r="1781" spans="1:19" x14ac:dyDescent="0.25">
      <c r="A1781" s="1">
        <v>0.76590240740740745</v>
      </c>
      <c r="B1781" s="145" t="s">
        <v>165</v>
      </c>
      <c r="C1781">
        <v>1780</v>
      </c>
      <c r="D1781">
        <v>1</v>
      </c>
      <c r="E1781">
        <v>1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</row>
    <row r="1782" spans="1:19" x14ac:dyDescent="0.25">
      <c r="A1782" s="1">
        <v>0.76590252314814811</v>
      </c>
      <c r="B1782" s="145" t="s">
        <v>165</v>
      </c>
      <c r="C1782">
        <v>1781</v>
      </c>
      <c r="D1782">
        <v>1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1</v>
      </c>
      <c r="O1782">
        <v>1</v>
      </c>
      <c r="P1782">
        <v>1</v>
      </c>
      <c r="Q1782">
        <v>1</v>
      </c>
      <c r="R1782">
        <v>1</v>
      </c>
      <c r="S1782">
        <v>1</v>
      </c>
    </row>
    <row r="1783" spans="1:19" x14ac:dyDescent="0.25">
      <c r="A1783" s="1">
        <v>0.76590263888888888</v>
      </c>
      <c r="B1783" s="145" t="s">
        <v>165</v>
      </c>
      <c r="C1783">
        <v>1782</v>
      </c>
      <c r="D1783">
        <v>1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1</v>
      </c>
      <c r="N1783">
        <v>1</v>
      </c>
      <c r="O1783">
        <v>1</v>
      </c>
      <c r="P1783">
        <v>1</v>
      </c>
      <c r="Q1783">
        <v>1</v>
      </c>
      <c r="R1783">
        <v>1</v>
      </c>
      <c r="S1783">
        <v>1</v>
      </c>
    </row>
    <row r="1784" spans="1:19" x14ac:dyDescent="0.25">
      <c r="A1784" s="1">
        <v>0.76590275462962965</v>
      </c>
      <c r="B1784" s="145" t="s">
        <v>2</v>
      </c>
      <c r="C1784">
        <v>1783</v>
      </c>
      <c r="D1784">
        <v>0</v>
      </c>
      <c r="E1784">
        <v>1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1</v>
      </c>
      <c r="N1784">
        <v>1</v>
      </c>
      <c r="O1784">
        <v>1</v>
      </c>
      <c r="P1784">
        <v>1</v>
      </c>
      <c r="Q1784">
        <v>1</v>
      </c>
      <c r="R1784">
        <v>1</v>
      </c>
      <c r="S1784">
        <v>1</v>
      </c>
    </row>
    <row r="1785" spans="1:19" x14ac:dyDescent="0.25">
      <c r="A1785" s="1">
        <v>0.76590287037037041</v>
      </c>
      <c r="B1785" s="145" t="s">
        <v>2</v>
      </c>
      <c r="C1785">
        <v>1784</v>
      </c>
      <c r="D1785">
        <v>0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1</v>
      </c>
      <c r="O1785">
        <v>1</v>
      </c>
      <c r="P1785">
        <v>1</v>
      </c>
      <c r="Q1785">
        <v>1</v>
      </c>
      <c r="R1785">
        <v>1</v>
      </c>
      <c r="S1785">
        <v>1</v>
      </c>
    </row>
    <row r="1786" spans="1:19" x14ac:dyDescent="0.25">
      <c r="A1786" s="1">
        <v>0.76590298611111107</v>
      </c>
      <c r="B1786" s="145" t="s">
        <v>165</v>
      </c>
      <c r="C1786">
        <v>1785</v>
      </c>
      <c r="D1786">
        <v>1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1</v>
      </c>
      <c r="N1786">
        <v>1</v>
      </c>
      <c r="O1786">
        <v>1</v>
      </c>
      <c r="P1786">
        <v>1</v>
      </c>
      <c r="Q1786">
        <v>1</v>
      </c>
      <c r="R1786">
        <v>1</v>
      </c>
      <c r="S1786">
        <v>1</v>
      </c>
    </row>
    <row r="1787" spans="1:19" x14ac:dyDescent="0.25">
      <c r="A1787" s="1">
        <v>0.76590310185185184</v>
      </c>
      <c r="B1787" s="145" t="s">
        <v>165</v>
      </c>
      <c r="C1787">
        <v>1786</v>
      </c>
      <c r="D1787">
        <v>1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1</v>
      </c>
      <c r="N1787">
        <v>1</v>
      </c>
      <c r="O1787">
        <v>1</v>
      </c>
      <c r="P1787">
        <v>1</v>
      </c>
      <c r="Q1787">
        <v>1</v>
      </c>
      <c r="R1787">
        <v>1</v>
      </c>
      <c r="S1787">
        <v>1</v>
      </c>
    </row>
    <row r="1788" spans="1:19" x14ac:dyDescent="0.25">
      <c r="A1788" s="1">
        <v>0.76590321759259261</v>
      </c>
      <c r="B1788" s="145" t="s">
        <v>165</v>
      </c>
      <c r="C1788">
        <v>1787</v>
      </c>
      <c r="D1788">
        <v>1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</v>
      </c>
      <c r="N1788">
        <v>1</v>
      </c>
      <c r="O1788">
        <v>1</v>
      </c>
      <c r="P1788">
        <v>1</v>
      </c>
      <c r="Q1788">
        <v>1</v>
      </c>
      <c r="R1788">
        <v>1</v>
      </c>
      <c r="S1788">
        <v>1</v>
      </c>
    </row>
    <row r="1789" spans="1:19" x14ac:dyDescent="0.25">
      <c r="A1789" s="1">
        <v>0.76590333333333338</v>
      </c>
      <c r="B1789" s="145" t="s">
        <v>165</v>
      </c>
      <c r="C1789">
        <v>1788</v>
      </c>
      <c r="D1789">
        <v>1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</row>
    <row r="1790" spans="1:19" x14ac:dyDescent="0.25">
      <c r="A1790" s="1">
        <v>0.76590344907407404</v>
      </c>
      <c r="B1790" s="145" t="s">
        <v>2</v>
      </c>
      <c r="C1790">
        <v>1789</v>
      </c>
      <c r="D1790">
        <v>0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1</v>
      </c>
      <c r="N1790">
        <v>1</v>
      </c>
      <c r="O1790">
        <v>1</v>
      </c>
      <c r="P1790">
        <v>1</v>
      </c>
      <c r="Q1790">
        <v>1</v>
      </c>
      <c r="R1790">
        <v>1</v>
      </c>
      <c r="S1790">
        <v>1</v>
      </c>
    </row>
    <row r="1791" spans="1:19" x14ac:dyDescent="0.25">
      <c r="A1791" s="1">
        <v>0.76590356481481481</v>
      </c>
      <c r="B1791" s="145" t="s">
        <v>2</v>
      </c>
      <c r="C1791">
        <v>1790</v>
      </c>
      <c r="D1791">
        <v>0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1</v>
      </c>
      <c r="N1791">
        <v>1</v>
      </c>
      <c r="O1791">
        <v>1</v>
      </c>
      <c r="P1791">
        <v>1</v>
      </c>
      <c r="Q1791">
        <v>1</v>
      </c>
      <c r="R1791">
        <v>1</v>
      </c>
      <c r="S1791">
        <v>1</v>
      </c>
    </row>
    <row r="1792" spans="1:19" x14ac:dyDescent="0.25">
      <c r="A1792" s="1">
        <v>0.76590368055555558</v>
      </c>
      <c r="B1792" s="145" t="s">
        <v>165</v>
      </c>
      <c r="C1792">
        <v>1791</v>
      </c>
      <c r="D1792">
        <v>1</v>
      </c>
      <c r="E1792">
        <v>1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1</v>
      </c>
      <c r="O1792">
        <v>1</v>
      </c>
      <c r="P1792">
        <v>1</v>
      </c>
      <c r="Q1792">
        <v>1</v>
      </c>
      <c r="R1792">
        <v>1</v>
      </c>
      <c r="S1792">
        <v>1</v>
      </c>
    </row>
    <row r="1793" spans="1:19" x14ac:dyDescent="0.25">
      <c r="A1793" s="1">
        <v>0.76590379629629635</v>
      </c>
      <c r="B1793" s="145" t="s">
        <v>165</v>
      </c>
      <c r="C1793">
        <v>1792</v>
      </c>
      <c r="D1793">
        <v>1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1</v>
      </c>
      <c r="N1793">
        <v>1</v>
      </c>
      <c r="O1793">
        <v>1</v>
      </c>
      <c r="P1793">
        <v>1</v>
      </c>
      <c r="Q1793">
        <v>1</v>
      </c>
      <c r="R1793">
        <v>1</v>
      </c>
      <c r="S1793">
        <v>1</v>
      </c>
    </row>
    <row r="1794" spans="1:19" x14ac:dyDescent="0.25">
      <c r="A1794" s="1">
        <v>0.765903912037037</v>
      </c>
      <c r="B1794" s="145" t="s">
        <v>165</v>
      </c>
      <c r="C1794">
        <v>1793</v>
      </c>
      <c r="D1794">
        <v>1</v>
      </c>
      <c r="E1794">
        <v>1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1</v>
      </c>
      <c r="N1794">
        <v>1</v>
      </c>
      <c r="O1794">
        <v>1</v>
      </c>
      <c r="P1794">
        <v>1</v>
      </c>
      <c r="Q1794">
        <v>1</v>
      </c>
      <c r="R1794">
        <v>1</v>
      </c>
      <c r="S1794">
        <v>1</v>
      </c>
    </row>
    <row r="1795" spans="1:19" x14ac:dyDescent="0.25">
      <c r="A1795" s="1">
        <v>0.76590402777777777</v>
      </c>
      <c r="B1795" s="145" t="s">
        <v>165</v>
      </c>
      <c r="C1795">
        <v>1794</v>
      </c>
      <c r="D1795">
        <v>1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</v>
      </c>
      <c r="N1795">
        <v>1</v>
      </c>
      <c r="O1795">
        <v>1</v>
      </c>
      <c r="P1795">
        <v>1</v>
      </c>
      <c r="Q1795">
        <v>1</v>
      </c>
      <c r="R1795">
        <v>1</v>
      </c>
      <c r="S1795">
        <v>1</v>
      </c>
    </row>
    <row r="1796" spans="1:19" x14ac:dyDescent="0.25">
      <c r="A1796" s="1">
        <v>0.76590414351851854</v>
      </c>
      <c r="B1796" s="145" t="s">
        <v>2</v>
      </c>
      <c r="C1796">
        <v>1795</v>
      </c>
      <c r="D1796">
        <v>0</v>
      </c>
      <c r="E1796">
        <v>1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</row>
    <row r="1797" spans="1:19" x14ac:dyDescent="0.25">
      <c r="A1797" s="1">
        <v>0.76590425925925931</v>
      </c>
      <c r="B1797" s="145" t="s">
        <v>2</v>
      </c>
      <c r="C1797">
        <v>1796</v>
      </c>
      <c r="D1797">
        <v>0</v>
      </c>
      <c r="E1797">
        <v>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1</v>
      </c>
      <c r="N1797">
        <v>1</v>
      </c>
      <c r="O1797">
        <v>1</v>
      </c>
      <c r="P1797">
        <v>1</v>
      </c>
      <c r="Q1797">
        <v>1</v>
      </c>
      <c r="R1797">
        <v>1</v>
      </c>
      <c r="S1797">
        <v>1</v>
      </c>
    </row>
    <row r="1798" spans="1:19" x14ac:dyDescent="0.25">
      <c r="A1798" s="1">
        <v>0.76590437499999997</v>
      </c>
      <c r="B1798" s="145" t="s">
        <v>165</v>
      </c>
      <c r="C1798">
        <v>1797</v>
      </c>
      <c r="D1798">
        <v>1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1</v>
      </c>
      <c r="N1798">
        <v>1</v>
      </c>
      <c r="O1798">
        <v>1</v>
      </c>
      <c r="P1798">
        <v>1</v>
      </c>
      <c r="Q1798">
        <v>1</v>
      </c>
      <c r="R1798">
        <v>1</v>
      </c>
      <c r="S1798">
        <v>1</v>
      </c>
    </row>
    <row r="1799" spans="1:19" x14ac:dyDescent="0.25">
      <c r="A1799" s="1">
        <v>0.76590449074074074</v>
      </c>
      <c r="B1799" s="145" t="s">
        <v>165</v>
      </c>
      <c r="C1799">
        <v>1798</v>
      </c>
      <c r="D1799">
        <v>1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1</v>
      </c>
      <c r="N1799">
        <v>1</v>
      </c>
      <c r="O1799">
        <v>1</v>
      </c>
      <c r="P1799">
        <v>1</v>
      </c>
      <c r="Q1799">
        <v>1</v>
      </c>
      <c r="R1799">
        <v>1</v>
      </c>
      <c r="S1799">
        <v>1</v>
      </c>
    </row>
    <row r="1800" spans="1:19" x14ac:dyDescent="0.25">
      <c r="A1800" s="1">
        <v>0.76590460648148151</v>
      </c>
      <c r="B1800" s="145" t="s">
        <v>165</v>
      </c>
      <c r="C1800">
        <v>1799</v>
      </c>
      <c r="D1800">
        <v>1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1</v>
      </c>
      <c r="N1800">
        <v>1</v>
      </c>
      <c r="O1800">
        <v>1</v>
      </c>
      <c r="P1800">
        <v>1</v>
      </c>
      <c r="Q1800">
        <v>1</v>
      </c>
      <c r="R1800">
        <v>1</v>
      </c>
      <c r="S1800">
        <v>1</v>
      </c>
    </row>
    <row r="1801" spans="1:19" x14ac:dyDescent="0.25">
      <c r="A1801" s="1">
        <v>0.76590472222222217</v>
      </c>
      <c r="B1801" s="145" t="s">
        <v>165</v>
      </c>
      <c r="C1801">
        <v>1800</v>
      </c>
      <c r="D1801">
        <v>1</v>
      </c>
      <c r="E1801">
        <v>1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1</v>
      </c>
      <c r="O1801">
        <v>1</v>
      </c>
      <c r="P1801">
        <v>1</v>
      </c>
      <c r="Q1801">
        <v>1</v>
      </c>
      <c r="R1801">
        <v>1</v>
      </c>
      <c r="S1801">
        <v>1</v>
      </c>
    </row>
    <row r="1802" spans="1:19" x14ac:dyDescent="0.25">
      <c r="A1802" s="1">
        <v>0.76590483796296294</v>
      </c>
      <c r="B1802" s="145" t="s">
        <v>2</v>
      </c>
      <c r="C1802">
        <v>1801</v>
      </c>
      <c r="D1802">
        <v>0</v>
      </c>
      <c r="E1802">
        <v>1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1</v>
      </c>
      <c r="N1802">
        <v>1</v>
      </c>
      <c r="O1802">
        <v>1</v>
      </c>
      <c r="P1802">
        <v>1</v>
      </c>
      <c r="Q1802">
        <v>1</v>
      </c>
      <c r="R1802">
        <v>1</v>
      </c>
      <c r="S1802">
        <v>1</v>
      </c>
    </row>
    <row r="1803" spans="1:19" x14ac:dyDescent="0.25">
      <c r="A1803" s="1">
        <v>0.76590495370370371</v>
      </c>
      <c r="B1803" s="145" t="s">
        <v>2</v>
      </c>
      <c r="C1803">
        <v>1802</v>
      </c>
      <c r="D1803">
        <v>0</v>
      </c>
      <c r="E1803">
        <v>1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1</v>
      </c>
      <c r="N1803">
        <v>1</v>
      </c>
      <c r="O1803">
        <v>1</v>
      </c>
      <c r="P1803">
        <v>1</v>
      </c>
      <c r="Q1803">
        <v>1</v>
      </c>
      <c r="R1803">
        <v>1</v>
      </c>
      <c r="S1803">
        <v>1</v>
      </c>
    </row>
    <row r="1804" spans="1:19" x14ac:dyDescent="0.25">
      <c r="A1804" s="1">
        <v>0.76590506944444448</v>
      </c>
      <c r="B1804" s="145" t="s">
        <v>165</v>
      </c>
      <c r="C1804">
        <v>1803</v>
      </c>
      <c r="D1804">
        <v>1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</v>
      </c>
      <c r="N1804">
        <v>1</v>
      </c>
      <c r="O1804">
        <v>1</v>
      </c>
      <c r="P1804">
        <v>1</v>
      </c>
      <c r="Q1804">
        <v>1</v>
      </c>
      <c r="R1804">
        <v>1</v>
      </c>
      <c r="S1804">
        <v>1</v>
      </c>
    </row>
    <row r="1805" spans="1:19" x14ac:dyDescent="0.25">
      <c r="A1805" s="1">
        <v>0.76590518518518513</v>
      </c>
      <c r="B1805" s="145" t="s">
        <v>165</v>
      </c>
      <c r="C1805">
        <v>1804</v>
      </c>
      <c r="D1805">
        <v>1</v>
      </c>
      <c r="E1805">
        <v>1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1</v>
      </c>
      <c r="N1805">
        <v>1</v>
      </c>
      <c r="O1805">
        <v>1</v>
      </c>
      <c r="P1805">
        <v>1</v>
      </c>
      <c r="Q1805">
        <v>1</v>
      </c>
      <c r="R1805">
        <v>1</v>
      </c>
      <c r="S1805">
        <v>1</v>
      </c>
    </row>
    <row r="1806" spans="1:19" x14ac:dyDescent="0.25">
      <c r="A1806" s="1">
        <v>0.7659053009259259</v>
      </c>
      <c r="B1806" s="145" t="s">
        <v>165</v>
      </c>
      <c r="C1806">
        <v>1805</v>
      </c>
      <c r="D1806">
        <v>1</v>
      </c>
      <c r="E1806">
        <v>1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1</v>
      </c>
      <c r="N1806">
        <v>1</v>
      </c>
      <c r="O1806">
        <v>1</v>
      </c>
      <c r="P1806">
        <v>1</v>
      </c>
      <c r="Q1806">
        <v>1</v>
      </c>
      <c r="R1806">
        <v>1</v>
      </c>
      <c r="S1806">
        <v>1</v>
      </c>
    </row>
    <row r="1807" spans="1:19" x14ac:dyDescent="0.25">
      <c r="A1807" s="1">
        <v>0.76590541666666667</v>
      </c>
      <c r="B1807" s="145" t="s">
        <v>165</v>
      </c>
      <c r="C1807">
        <v>1806</v>
      </c>
      <c r="D1807">
        <v>1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1</v>
      </c>
      <c r="N1807">
        <v>1</v>
      </c>
      <c r="O1807">
        <v>1</v>
      </c>
      <c r="P1807">
        <v>1</v>
      </c>
      <c r="Q1807">
        <v>1</v>
      </c>
      <c r="R1807">
        <v>1</v>
      </c>
      <c r="S1807">
        <v>1</v>
      </c>
    </row>
    <row r="1808" spans="1:19" x14ac:dyDescent="0.25">
      <c r="A1808" s="1">
        <v>0.76590553240740744</v>
      </c>
      <c r="B1808" s="145" t="s">
        <v>2</v>
      </c>
      <c r="C1808">
        <v>1807</v>
      </c>
      <c r="D1808">
        <v>0</v>
      </c>
      <c r="E1808">
        <v>1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</row>
    <row r="1809" spans="1:19" x14ac:dyDescent="0.25">
      <c r="A1809" s="1">
        <v>0.7659056481481481</v>
      </c>
      <c r="B1809" s="145" t="s">
        <v>2</v>
      </c>
      <c r="C1809">
        <v>1808</v>
      </c>
      <c r="D1809">
        <v>0</v>
      </c>
      <c r="E1809">
        <v>1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1</v>
      </c>
      <c r="N1809">
        <v>1</v>
      </c>
      <c r="O1809">
        <v>1</v>
      </c>
      <c r="P1809">
        <v>1</v>
      </c>
      <c r="Q1809">
        <v>1</v>
      </c>
      <c r="R1809">
        <v>1</v>
      </c>
      <c r="S1809">
        <v>1</v>
      </c>
    </row>
    <row r="1810" spans="1:19" x14ac:dyDescent="0.25">
      <c r="A1810" s="1">
        <v>0.76590576388888887</v>
      </c>
      <c r="B1810" s="145" t="s">
        <v>165</v>
      </c>
      <c r="C1810">
        <v>1809</v>
      </c>
      <c r="D1810">
        <v>1</v>
      </c>
      <c r="E1810">
        <v>1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1</v>
      </c>
      <c r="N1810">
        <v>1</v>
      </c>
      <c r="O1810">
        <v>1</v>
      </c>
      <c r="P1810">
        <v>1</v>
      </c>
      <c r="Q1810">
        <v>1</v>
      </c>
      <c r="R1810">
        <v>1</v>
      </c>
      <c r="S1810">
        <v>1</v>
      </c>
    </row>
    <row r="1811" spans="1:19" x14ac:dyDescent="0.25">
      <c r="A1811" s="1">
        <v>0.76590586805555561</v>
      </c>
      <c r="B1811" s="145" t="s">
        <v>165</v>
      </c>
      <c r="C1811">
        <v>1810</v>
      </c>
      <c r="D1811">
        <v>1</v>
      </c>
      <c r="E1811">
        <v>1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1</v>
      </c>
      <c r="N1811">
        <v>1</v>
      </c>
      <c r="O1811">
        <v>1</v>
      </c>
      <c r="P1811">
        <v>1</v>
      </c>
      <c r="Q1811">
        <v>1</v>
      </c>
      <c r="R1811">
        <v>1</v>
      </c>
      <c r="S1811">
        <v>1</v>
      </c>
    </row>
    <row r="1812" spans="1:19" x14ac:dyDescent="0.25">
      <c r="A1812" s="1">
        <v>0.76590598379629626</v>
      </c>
      <c r="B1812" s="145" t="s">
        <v>165</v>
      </c>
      <c r="C1812">
        <v>1811</v>
      </c>
      <c r="D1812">
        <v>1</v>
      </c>
      <c r="E1812">
        <v>1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1</v>
      </c>
      <c r="N1812">
        <v>1</v>
      </c>
      <c r="O1812">
        <v>1</v>
      </c>
      <c r="P1812">
        <v>1</v>
      </c>
      <c r="Q1812">
        <v>1</v>
      </c>
      <c r="R1812">
        <v>1</v>
      </c>
      <c r="S1812">
        <v>1</v>
      </c>
    </row>
    <row r="1813" spans="1:19" x14ac:dyDescent="0.25">
      <c r="A1813" s="1">
        <v>0.76590609953703703</v>
      </c>
      <c r="B1813" s="145" t="s">
        <v>165</v>
      </c>
      <c r="C1813">
        <v>1812</v>
      </c>
      <c r="D1813">
        <v>1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1</v>
      </c>
      <c r="N1813">
        <v>1</v>
      </c>
      <c r="O1813">
        <v>1</v>
      </c>
      <c r="P1813">
        <v>1</v>
      </c>
      <c r="Q1813">
        <v>1</v>
      </c>
      <c r="R1813">
        <v>1</v>
      </c>
      <c r="S1813">
        <v>1</v>
      </c>
    </row>
    <row r="1814" spans="1:19" x14ac:dyDescent="0.25">
      <c r="A1814" s="1">
        <v>0.7659062152777778</v>
      </c>
      <c r="B1814" s="145" t="s">
        <v>2</v>
      </c>
      <c r="C1814">
        <v>1813</v>
      </c>
      <c r="D1814">
        <v>0</v>
      </c>
      <c r="E1814">
        <v>1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1</v>
      </c>
      <c r="N1814">
        <v>1</v>
      </c>
      <c r="O1814">
        <v>1</v>
      </c>
      <c r="P1814">
        <v>1</v>
      </c>
      <c r="Q1814">
        <v>1</v>
      </c>
      <c r="R1814">
        <v>1</v>
      </c>
      <c r="S1814">
        <v>1</v>
      </c>
    </row>
    <row r="1815" spans="1:19" x14ac:dyDescent="0.25">
      <c r="A1815" s="1">
        <v>0.76590633101851857</v>
      </c>
      <c r="B1815" s="145" t="s">
        <v>2</v>
      </c>
      <c r="C1815">
        <v>1814</v>
      </c>
      <c r="D1815">
        <v>0</v>
      </c>
      <c r="E1815">
        <v>1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1</v>
      </c>
      <c r="N1815">
        <v>1</v>
      </c>
      <c r="O1815">
        <v>1</v>
      </c>
      <c r="P1815">
        <v>1</v>
      </c>
      <c r="Q1815">
        <v>1</v>
      </c>
      <c r="R1815">
        <v>1</v>
      </c>
      <c r="S1815">
        <v>1</v>
      </c>
    </row>
    <row r="1816" spans="1:19" x14ac:dyDescent="0.25">
      <c r="A1816" s="1">
        <v>0.76590644675925923</v>
      </c>
      <c r="B1816" s="145" t="s">
        <v>165</v>
      </c>
      <c r="C1816">
        <v>1815</v>
      </c>
      <c r="D1816">
        <v>1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1</v>
      </c>
      <c r="O1816">
        <v>1</v>
      </c>
      <c r="P1816">
        <v>1</v>
      </c>
      <c r="Q1816">
        <v>1</v>
      </c>
      <c r="R1816">
        <v>1</v>
      </c>
      <c r="S1816">
        <v>1</v>
      </c>
    </row>
    <row r="1817" spans="1:19" x14ac:dyDescent="0.25">
      <c r="A1817" s="1">
        <v>0.7659065625</v>
      </c>
      <c r="B1817" s="145" t="s">
        <v>165</v>
      </c>
      <c r="C1817">
        <v>1816</v>
      </c>
      <c r="D1817">
        <v>1</v>
      </c>
      <c r="E1817">
        <v>1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1</v>
      </c>
      <c r="N1817">
        <v>1</v>
      </c>
      <c r="O1817">
        <v>1</v>
      </c>
      <c r="P1817">
        <v>1</v>
      </c>
      <c r="Q1817">
        <v>1</v>
      </c>
      <c r="R1817">
        <v>1</v>
      </c>
      <c r="S1817">
        <v>1</v>
      </c>
    </row>
    <row r="1818" spans="1:19" x14ac:dyDescent="0.25">
      <c r="A1818" s="1">
        <v>0.76590667824074077</v>
      </c>
      <c r="B1818" s="145" t="s">
        <v>165</v>
      </c>
      <c r="C1818">
        <v>1817</v>
      </c>
      <c r="D1818">
        <v>1</v>
      </c>
      <c r="E1818">
        <v>1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1</v>
      </c>
      <c r="N1818">
        <v>1</v>
      </c>
      <c r="O1818">
        <v>1</v>
      </c>
      <c r="P1818">
        <v>1</v>
      </c>
      <c r="Q1818">
        <v>1</v>
      </c>
      <c r="R1818">
        <v>1</v>
      </c>
      <c r="S1818">
        <v>1</v>
      </c>
    </row>
    <row r="1819" spans="1:19" x14ac:dyDescent="0.25">
      <c r="A1819" s="1">
        <v>0.76590679398148143</v>
      </c>
      <c r="B1819" s="145" t="s">
        <v>165</v>
      </c>
      <c r="C1819">
        <v>1818</v>
      </c>
      <c r="D1819">
        <v>1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1</v>
      </c>
      <c r="N1819">
        <v>1</v>
      </c>
      <c r="O1819">
        <v>1</v>
      </c>
      <c r="P1819">
        <v>1</v>
      </c>
      <c r="Q1819">
        <v>1</v>
      </c>
      <c r="R1819">
        <v>1</v>
      </c>
      <c r="S1819">
        <v>1</v>
      </c>
    </row>
    <row r="1820" spans="1:19" x14ac:dyDescent="0.25">
      <c r="A1820" s="1">
        <v>0.7659069097222222</v>
      </c>
      <c r="B1820" s="145" t="s">
        <v>2</v>
      </c>
      <c r="C1820">
        <v>1819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</row>
    <row r="1821" spans="1:19" x14ac:dyDescent="0.25">
      <c r="A1821" s="1">
        <v>0.76590702546296296</v>
      </c>
      <c r="B1821" s="145" t="s">
        <v>2</v>
      </c>
      <c r="C1821">
        <v>1820</v>
      </c>
      <c r="D1821">
        <v>0</v>
      </c>
      <c r="E1821">
        <v>1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1</v>
      </c>
      <c r="N1821">
        <v>1</v>
      </c>
      <c r="O1821">
        <v>1</v>
      </c>
      <c r="P1821">
        <v>1</v>
      </c>
      <c r="Q1821">
        <v>1</v>
      </c>
      <c r="R1821">
        <v>1</v>
      </c>
      <c r="S1821">
        <v>1</v>
      </c>
    </row>
    <row r="1822" spans="1:19" x14ac:dyDescent="0.25">
      <c r="A1822" s="1">
        <v>0.76590714120370373</v>
      </c>
      <c r="B1822" s="145" t="s">
        <v>165</v>
      </c>
      <c r="C1822">
        <v>1821</v>
      </c>
      <c r="D1822">
        <v>1</v>
      </c>
      <c r="E1822">
        <v>1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1</v>
      </c>
      <c r="N1822">
        <v>1</v>
      </c>
      <c r="O1822">
        <v>1</v>
      </c>
      <c r="P1822">
        <v>1</v>
      </c>
      <c r="Q1822">
        <v>1</v>
      </c>
      <c r="R1822">
        <v>1</v>
      </c>
      <c r="S1822">
        <v>1</v>
      </c>
    </row>
    <row r="1823" spans="1:19" x14ac:dyDescent="0.25">
      <c r="A1823" s="1">
        <v>0.76590725694444439</v>
      </c>
      <c r="B1823" s="145" t="s">
        <v>165</v>
      </c>
      <c r="C1823">
        <v>1822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</v>
      </c>
      <c r="N1823">
        <v>1</v>
      </c>
      <c r="O1823">
        <v>1</v>
      </c>
      <c r="P1823">
        <v>1</v>
      </c>
      <c r="Q1823">
        <v>1</v>
      </c>
      <c r="R1823">
        <v>1</v>
      </c>
      <c r="S1823">
        <v>1</v>
      </c>
    </row>
    <row r="1824" spans="1:19" x14ac:dyDescent="0.25">
      <c r="A1824" s="1">
        <v>0.76590737268518516</v>
      </c>
      <c r="B1824" s="145" t="s">
        <v>165</v>
      </c>
      <c r="C1824">
        <v>1823</v>
      </c>
      <c r="D1824">
        <v>1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1</v>
      </c>
      <c r="N1824">
        <v>1</v>
      </c>
      <c r="O1824">
        <v>1</v>
      </c>
      <c r="P1824">
        <v>1</v>
      </c>
      <c r="Q1824">
        <v>1</v>
      </c>
      <c r="R1824">
        <v>1</v>
      </c>
      <c r="S1824">
        <v>1</v>
      </c>
    </row>
    <row r="1825" spans="1:19" x14ac:dyDescent="0.25">
      <c r="A1825" s="1">
        <v>0.76590748842592593</v>
      </c>
      <c r="B1825" s="145" t="s">
        <v>165</v>
      </c>
      <c r="C1825">
        <v>1824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1</v>
      </c>
      <c r="N1825">
        <v>1</v>
      </c>
      <c r="O1825">
        <v>1</v>
      </c>
      <c r="P1825">
        <v>1</v>
      </c>
      <c r="Q1825">
        <v>1</v>
      </c>
      <c r="R1825">
        <v>1</v>
      </c>
      <c r="S1825">
        <v>1</v>
      </c>
    </row>
    <row r="1826" spans="1:19" x14ac:dyDescent="0.25">
      <c r="A1826" s="1">
        <v>0.7659076041666667</v>
      </c>
      <c r="B1826" s="145" t="s">
        <v>2</v>
      </c>
      <c r="C1826">
        <v>1825</v>
      </c>
      <c r="D1826">
        <v>0</v>
      </c>
      <c r="E1826">
        <v>1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1</v>
      </c>
      <c r="N1826">
        <v>1</v>
      </c>
      <c r="O1826">
        <v>1</v>
      </c>
      <c r="P1826">
        <v>1</v>
      </c>
      <c r="Q1826">
        <v>1</v>
      </c>
      <c r="R1826">
        <v>1</v>
      </c>
      <c r="S1826">
        <v>1</v>
      </c>
    </row>
    <row r="1827" spans="1:19" x14ac:dyDescent="0.25">
      <c r="A1827" s="1">
        <v>0.76590771990740736</v>
      </c>
      <c r="B1827" s="145" t="s">
        <v>2</v>
      </c>
      <c r="C1827">
        <v>1826</v>
      </c>
      <c r="D1827">
        <v>0</v>
      </c>
      <c r="E1827">
        <v>1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1</v>
      </c>
      <c r="N1827">
        <v>1</v>
      </c>
      <c r="O1827">
        <v>1</v>
      </c>
      <c r="P1827">
        <v>1</v>
      </c>
      <c r="Q1827">
        <v>1</v>
      </c>
      <c r="R1827">
        <v>1</v>
      </c>
      <c r="S1827">
        <v>1</v>
      </c>
    </row>
    <row r="1828" spans="1:19" x14ac:dyDescent="0.25">
      <c r="A1828" s="1">
        <v>0.76590783564814813</v>
      </c>
      <c r="B1828" s="145" t="s">
        <v>165</v>
      </c>
      <c r="C1828">
        <v>1827</v>
      </c>
      <c r="D1828">
        <v>1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1</v>
      </c>
      <c r="N1828">
        <v>1</v>
      </c>
      <c r="O1828">
        <v>1</v>
      </c>
      <c r="P1828">
        <v>1</v>
      </c>
      <c r="Q1828">
        <v>1</v>
      </c>
      <c r="R1828">
        <v>1</v>
      </c>
      <c r="S1828">
        <v>1</v>
      </c>
    </row>
    <row r="1829" spans="1:19" x14ac:dyDescent="0.25">
      <c r="A1829" s="1">
        <v>0.7659079513888889</v>
      </c>
      <c r="B1829" s="145" t="s">
        <v>165</v>
      </c>
      <c r="C1829">
        <v>1828</v>
      </c>
      <c r="D1829">
        <v>1</v>
      </c>
      <c r="E1829">
        <v>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1</v>
      </c>
      <c r="N1829">
        <v>1</v>
      </c>
      <c r="O1829">
        <v>1</v>
      </c>
      <c r="P1829">
        <v>1</v>
      </c>
      <c r="Q1829">
        <v>1</v>
      </c>
      <c r="R1829">
        <v>1</v>
      </c>
      <c r="S1829">
        <v>1</v>
      </c>
    </row>
    <row r="1830" spans="1:19" x14ac:dyDescent="0.25">
      <c r="A1830" s="1">
        <v>0.76590806712962967</v>
      </c>
      <c r="B1830" s="145" t="s">
        <v>165</v>
      </c>
      <c r="C1830">
        <v>1829</v>
      </c>
      <c r="D1830">
        <v>1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1</v>
      </c>
      <c r="O1830">
        <v>1</v>
      </c>
      <c r="P1830">
        <v>1</v>
      </c>
      <c r="Q1830">
        <v>1</v>
      </c>
      <c r="R1830">
        <v>1</v>
      </c>
      <c r="S1830">
        <v>1</v>
      </c>
    </row>
    <row r="1831" spans="1:19" x14ac:dyDescent="0.25">
      <c r="A1831" s="1">
        <v>0.76590818287037032</v>
      </c>
      <c r="B1831" s="145" t="s">
        <v>165</v>
      </c>
      <c r="C1831">
        <v>1830</v>
      </c>
      <c r="D1831">
        <v>1</v>
      </c>
      <c r="E1831">
        <v>1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1</v>
      </c>
      <c r="N1831">
        <v>1</v>
      </c>
      <c r="O1831">
        <v>1</v>
      </c>
      <c r="P1831">
        <v>1</v>
      </c>
      <c r="Q1831">
        <v>1</v>
      </c>
      <c r="R1831">
        <v>1</v>
      </c>
      <c r="S1831">
        <v>1</v>
      </c>
    </row>
    <row r="1832" spans="1:19" x14ac:dyDescent="0.25">
      <c r="A1832" s="1">
        <v>0.76590829861111109</v>
      </c>
      <c r="B1832" s="145" t="s">
        <v>2</v>
      </c>
      <c r="C1832">
        <v>1831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1</v>
      </c>
      <c r="N1832">
        <v>1</v>
      </c>
      <c r="O1832">
        <v>1</v>
      </c>
      <c r="P1832">
        <v>1</v>
      </c>
      <c r="Q1832">
        <v>1</v>
      </c>
      <c r="R1832">
        <v>1</v>
      </c>
      <c r="S1832">
        <v>1</v>
      </c>
    </row>
    <row r="1833" spans="1:19" x14ac:dyDescent="0.25">
      <c r="A1833" s="1">
        <v>0.76590841435185186</v>
      </c>
      <c r="B1833" s="145" t="s">
        <v>2</v>
      </c>
      <c r="C1833">
        <v>1832</v>
      </c>
      <c r="D1833">
        <v>0</v>
      </c>
      <c r="E1833">
        <v>1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1</v>
      </c>
      <c r="N1833">
        <v>1</v>
      </c>
      <c r="O1833">
        <v>1</v>
      </c>
      <c r="P1833">
        <v>1</v>
      </c>
      <c r="Q1833">
        <v>1</v>
      </c>
      <c r="R1833">
        <v>1</v>
      </c>
      <c r="S1833">
        <v>1</v>
      </c>
    </row>
    <row r="1834" spans="1:19" x14ac:dyDescent="0.25">
      <c r="A1834" s="1">
        <v>0.76590853009259263</v>
      </c>
      <c r="B1834" s="145" t="s">
        <v>165</v>
      </c>
      <c r="C1834">
        <v>1833</v>
      </c>
      <c r="D1834">
        <v>1</v>
      </c>
      <c r="E1834">
        <v>1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1</v>
      </c>
      <c r="N1834">
        <v>1</v>
      </c>
      <c r="O1834">
        <v>1</v>
      </c>
      <c r="P1834">
        <v>1</v>
      </c>
      <c r="Q1834">
        <v>1</v>
      </c>
      <c r="R1834">
        <v>1</v>
      </c>
      <c r="S1834">
        <v>1</v>
      </c>
    </row>
    <row r="1835" spans="1:19" x14ac:dyDescent="0.25">
      <c r="A1835" s="1">
        <v>0.76590864583333329</v>
      </c>
      <c r="B1835" s="145" t="s">
        <v>165</v>
      </c>
      <c r="C1835">
        <v>1834</v>
      </c>
      <c r="D1835">
        <v>1</v>
      </c>
      <c r="E1835">
        <v>1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1</v>
      </c>
      <c r="N1835">
        <v>1</v>
      </c>
      <c r="O1835">
        <v>1</v>
      </c>
      <c r="P1835">
        <v>1</v>
      </c>
      <c r="Q1835">
        <v>1</v>
      </c>
      <c r="R1835">
        <v>1</v>
      </c>
      <c r="S1835">
        <v>1</v>
      </c>
    </row>
    <row r="1836" spans="1:19" x14ac:dyDescent="0.25">
      <c r="A1836" s="1">
        <v>0.76590876157407406</v>
      </c>
      <c r="B1836" s="145" t="s">
        <v>165</v>
      </c>
      <c r="C1836">
        <v>1835</v>
      </c>
      <c r="D1836">
        <v>1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1</v>
      </c>
      <c r="N1836">
        <v>1</v>
      </c>
      <c r="O1836">
        <v>1</v>
      </c>
      <c r="P1836">
        <v>1</v>
      </c>
      <c r="Q1836">
        <v>1</v>
      </c>
      <c r="R1836">
        <v>1</v>
      </c>
      <c r="S1836">
        <v>1</v>
      </c>
    </row>
    <row r="1837" spans="1:19" x14ac:dyDescent="0.25">
      <c r="A1837" s="1">
        <v>0.76590887731481483</v>
      </c>
      <c r="B1837" s="145" t="s">
        <v>165</v>
      </c>
      <c r="C1837">
        <v>1836</v>
      </c>
      <c r="D1837">
        <v>1</v>
      </c>
      <c r="E1837">
        <v>1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1</v>
      </c>
      <c r="N1837">
        <v>1</v>
      </c>
      <c r="O1837">
        <v>1</v>
      </c>
      <c r="P1837">
        <v>1</v>
      </c>
      <c r="Q1837">
        <v>1</v>
      </c>
      <c r="R1837">
        <v>1</v>
      </c>
      <c r="S1837">
        <v>1</v>
      </c>
    </row>
    <row r="1838" spans="1:19" x14ac:dyDescent="0.25">
      <c r="A1838" s="1">
        <v>0.7659089930555556</v>
      </c>
      <c r="B1838" s="145" t="s">
        <v>2</v>
      </c>
      <c r="C1838">
        <v>1837</v>
      </c>
      <c r="D1838">
        <v>0</v>
      </c>
      <c r="E1838">
        <v>1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1</v>
      </c>
      <c r="M1838">
        <v>1</v>
      </c>
      <c r="N1838">
        <v>1</v>
      </c>
      <c r="O1838">
        <v>1</v>
      </c>
      <c r="P1838">
        <v>1</v>
      </c>
      <c r="Q1838">
        <v>1</v>
      </c>
      <c r="R1838">
        <v>1</v>
      </c>
      <c r="S1838">
        <v>1</v>
      </c>
    </row>
    <row r="1839" spans="1:19" x14ac:dyDescent="0.25">
      <c r="A1839" s="1">
        <v>0.76590910879629626</v>
      </c>
      <c r="B1839" s="145" t="s">
        <v>2</v>
      </c>
      <c r="C1839">
        <v>1838</v>
      </c>
      <c r="D1839">
        <v>0</v>
      </c>
      <c r="E1839">
        <v>1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1</v>
      </c>
      <c r="M1839">
        <v>1</v>
      </c>
      <c r="N1839">
        <v>1</v>
      </c>
      <c r="O1839">
        <v>1</v>
      </c>
      <c r="P1839">
        <v>1</v>
      </c>
      <c r="Q1839">
        <v>1</v>
      </c>
      <c r="R1839">
        <v>1</v>
      </c>
      <c r="S1839">
        <v>1</v>
      </c>
    </row>
    <row r="1840" spans="1:19" x14ac:dyDescent="0.25">
      <c r="A1840" s="1">
        <v>0.76590922453703703</v>
      </c>
      <c r="B1840" s="145" t="s">
        <v>165</v>
      </c>
      <c r="C1840">
        <v>1839</v>
      </c>
      <c r="D1840">
        <v>1</v>
      </c>
      <c r="E1840">
        <v>1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1</v>
      </c>
      <c r="N1840">
        <v>1</v>
      </c>
      <c r="O1840">
        <v>1</v>
      </c>
      <c r="P1840">
        <v>1</v>
      </c>
      <c r="Q1840">
        <v>1</v>
      </c>
      <c r="R1840">
        <v>1</v>
      </c>
      <c r="S1840">
        <v>1</v>
      </c>
    </row>
    <row r="1841" spans="1:19" x14ac:dyDescent="0.25">
      <c r="A1841" s="1">
        <v>0.76590934027777779</v>
      </c>
      <c r="B1841" s="145" t="s">
        <v>165</v>
      </c>
      <c r="C1841">
        <v>1840</v>
      </c>
      <c r="D1841">
        <v>1</v>
      </c>
      <c r="E1841">
        <v>1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1</v>
      </c>
      <c r="N1841">
        <v>1</v>
      </c>
      <c r="O1841">
        <v>1</v>
      </c>
      <c r="P1841">
        <v>1</v>
      </c>
      <c r="Q1841">
        <v>1</v>
      </c>
      <c r="R1841">
        <v>1</v>
      </c>
      <c r="S1841">
        <v>1</v>
      </c>
    </row>
    <row r="1842" spans="1:19" x14ac:dyDescent="0.25">
      <c r="A1842" s="1">
        <v>0.76590945601851856</v>
      </c>
      <c r="B1842" s="145" t="s">
        <v>165</v>
      </c>
      <c r="C1842">
        <v>1841</v>
      </c>
      <c r="D1842">
        <v>1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1</v>
      </c>
      <c r="M1842">
        <v>1</v>
      </c>
      <c r="N1842">
        <v>1</v>
      </c>
      <c r="O1842">
        <v>1</v>
      </c>
      <c r="P1842">
        <v>1</v>
      </c>
      <c r="Q1842">
        <v>1</v>
      </c>
      <c r="R1842">
        <v>1</v>
      </c>
      <c r="S1842">
        <v>1</v>
      </c>
    </row>
    <row r="1843" spans="1:19" x14ac:dyDescent="0.25">
      <c r="A1843" s="1">
        <v>0.76590957175925922</v>
      </c>
      <c r="B1843" s="145" t="s">
        <v>165</v>
      </c>
      <c r="C1843">
        <v>1842</v>
      </c>
      <c r="D1843">
        <v>1</v>
      </c>
      <c r="E1843">
        <v>1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1</v>
      </c>
      <c r="M1843">
        <v>1</v>
      </c>
      <c r="N1843">
        <v>1</v>
      </c>
      <c r="O1843">
        <v>1</v>
      </c>
      <c r="P1843">
        <v>1</v>
      </c>
      <c r="Q1843">
        <v>1</v>
      </c>
      <c r="R1843">
        <v>1</v>
      </c>
      <c r="S1843">
        <v>1</v>
      </c>
    </row>
    <row r="1844" spans="1:19" x14ac:dyDescent="0.25">
      <c r="A1844" s="1">
        <v>0.76590968749999999</v>
      </c>
      <c r="B1844" s="145" t="s">
        <v>2</v>
      </c>
      <c r="C1844">
        <v>1843</v>
      </c>
      <c r="D1844">
        <v>0</v>
      </c>
      <c r="E1844">
        <v>1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1</v>
      </c>
      <c r="N1844">
        <v>1</v>
      </c>
      <c r="O1844">
        <v>1</v>
      </c>
      <c r="P1844">
        <v>1</v>
      </c>
      <c r="Q1844">
        <v>1</v>
      </c>
      <c r="R1844">
        <v>1</v>
      </c>
      <c r="S1844">
        <v>1</v>
      </c>
    </row>
    <row r="1845" spans="1:19" x14ac:dyDescent="0.25">
      <c r="A1845" s="1">
        <v>0.76590980324074076</v>
      </c>
      <c r="B1845" s="145" t="s">
        <v>2</v>
      </c>
      <c r="C1845">
        <v>1844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</v>
      </c>
      <c r="M1845">
        <v>1</v>
      </c>
      <c r="N1845">
        <v>1</v>
      </c>
      <c r="O1845">
        <v>1</v>
      </c>
      <c r="P1845">
        <v>1</v>
      </c>
      <c r="Q1845">
        <v>1</v>
      </c>
      <c r="R1845">
        <v>1</v>
      </c>
      <c r="S1845">
        <v>1</v>
      </c>
    </row>
    <row r="1846" spans="1:19" x14ac:dyDescent="0.25">
      <c r="A1846" s="1">
        <v>0.76590991898148153</v>
      </c>
      <c r="B1846" s="145" t="s">
        <v>165</v>
      </c>
      <c r="C1846">
        <v>1845</v>
      </c>
      <c r="D1846">
        <v>1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1</v>
      </c>
      <c r="N1846">
        <v>1</v>
      </c>
      <c r="O1846">
        <v>1</v>
      </c>
      <c r="P1846">
        <v>1</v>
      </c>
      <c r="Q1846">
        <v>1</v>
      </c>
      <c r="R1846">
        <v>1</v>
      </c>
      <c r="S1846">
        <v>1</v>
      </c>
    </row>
    <row r="1847" spans="1:19" x14ac:dyDescent="0.25">
      <c r="A1847" s="1">
        <v>0.76591003472222219</v>
      </c>
      <c r="B1847" s="145" t="s">
        <v>165</v>
      </c>
      <c r="C1847">
        <v>1846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</row>
    <row r="1848" spans="1:19" x14ac:dyDescent="0.25">
      <c r="A1848" s="1">
        <v>0.76591015046296296</v>
      </c>
      <c r="B1848" s="145" t="s">
        <v>165</v>
      </c>
      <c r="C1848">
        <v>1847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</v>
      </c>
      <c r="Q1848">
        <v>1</v>
      </c>
      <c r="R1848">
        <v>1</v>
      </c>
      <c r="S1848">
        <v>1</v>
      </c>
    </row>
    <row r="1849" spans="1:19" x14ac:dyDescent="0.25">
      <c r="A1849" s="1">
        <v>0.76591026620370373</v>
      </c>
      <c r="B1849" s="145" t="s">
        <v>165</v>
      </c>
      <c r="C1849">
        <v>1848</v>
      </c>
      <c r="D1849">
        <v>1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1</v>
      </c>
      <c r="N1849">
        <v>1</v>
      </c>
      <c r="O1849">
        <v>1</v>
      </c>
      <c r="P1849">
        <v>1</v>
      </c>
      <c r="Q1849">
        <v>1</v>
      </c>
      <c r="R1849">
        <v>1</v>
      </c>
      <c r="S1849">
        <v>1</v>
      </c>
    </row>
    <row r="1850" spans="1:19" x14ac:dyDescent="0.25">
      <c r="A1850" s="1">
        <v>0.7659103819444445</v>
      </c>
      <c r="B1850" s="145" t="s">
        <v>2</v>
      </c>
      <c r="C1850">
        <v>1849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1</v>
      </c>
      <c r="N1850">
        <v>1</v>
      </c>
      <c r="O1850">
        <v>1</v>
      </c>
      <c r="P1850">
        <v>1</v>
      </c>
      <c r="Q1850">
        <v>1</v>
      </c>
      <c r="R1850">
        <v>1</v>
      </c>
      <c r="S1850">
        <v>1</v>
      </c>
    </row>
    <row r="1851" spans="1:19" x14ac:dyDescent="0.25">
      <c r="A1851" s="1">
        <v>0.76591049768518515</v>
      </c>
      <c r="B1851" s="145" t="s">
        <v>2</v>
      </c>
      <c r="C1851">
        <v>1850</v>
      </c>
      <c r="D1851">
        <v>0</v>
      </c>
      <c r="E1851">
        <v>1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1</v>
      </c>
      <c r="N1851">
        <v>1</v>
      </c>
      <c r="O1851">
        <v>1</v>
      </c>
      <c r="P1851">
        <v>1</v>
      </c>
      <c r="Q1851">
        <v>1</v>
      </c>
      <c r="R1851">
        <v>1</v>
      </c>
      <c r="S1851">
        <v>1</v>
      </c>
    </row>
    <row r="1852" spans="1:19" x14ac:dyDescent="0.25">
      <c r="A1852" s="1">
        <v>0.76591061342592592</v>
      </c>
      <c r="B1852" s="145" t="s">
        <v>165</v>
      </c>
      <c r="C1852">
        <v>1851</v>
      </c>
      <c r="D1852">
        <v>1</v>
      </c>
      <c r="E1852">
        <v>1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1</v>
      </c>
      <c r="N1852">
        <v>1</v>
      </c>
      <c r="O1852">
        <v>1</v>
      </c>
      <c r="P1852">
        <v>1</v>
      </c>
      <c r="Q1852">
        <v>1</v>
      </c>
      <c r="R1852">
        <v>1</v>
      </c>
      <c r="S1852">
        <v>1</v>
      </c>
    </row>
    <row r="1853" spans="1:19" x14ac:dyDescent="0.25">
      <c r="A1853" s="1">
        <v>0.76591072916666669</v>
      </c>
      <c r="B1853" s="145" t="s">
        <v>165</v>
      </c>
      <c r="C1853">
        <v>1852</v>
      </c>
      <c r="D1853">
        <v>1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1</v>
      </c>
      <c r="M1853">
        <v>1</v>
      </c>
      <c r="N1853">
        <v>1</v>
      </c>
      <c r="O1853">
        <v>1</v>
      </c>
      <c r="P1853">
        <v>1</v>
      </c>
      <c r="Q1853">
        <v>1</v>
      </c>
      <c r="R1853">
        <v>1</v>
      </c>
      <c r="S1853">
        <v>1</v>
      </c>
    </row>
    <row r="1854" spans="1:19" x14ac:dyDescent="0.25">
      <c r="A1854" s="1">
        <v>0.76591096064814812</v>
      </c>
      <c r="B1854" s="145" t="s">
        <v>165</v>
      </c>
      <c r="C1854">
        <v>1853</v>
      </c>
      <c r="D1854">
        <v>1</v>
      </c>
      <c r="E1854">
        <v>1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1</v>
      </c>
      <c r="M1854">
        <v>1</v>
      </c>
      <c r="N1854">
        <v>1</v>
      </c>
      <c r="O1854">
        <v>1</v>
      </c>
      <c r="P1854">
        <v>1</v>
      </c>
      <c r="Q1854">
        <v>1</v>
      </c>
      <c r="R1854">
        <v>1</v>
      </c>
      <c r="S1854">
        <v>1</v>
      </c>
    </row>
    <row r="1855" spans="1:19" x14ac:dyDescent="0.25">
      <c r="A1855" s="1">
        <v>0.76591107638888889</v>
      </c>
      <c r="B1855" s="145" t="s">
        <v>2</v>
      </c>
      <c r="C1855">
        <v>1854</v>
      </c>
      <c r="D1855">
        <v>0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1</v>
      </c>
      <c r="N1855">
        <v>1</v>
      </c>
      <c r="O1855">
        <v>1</v>
      </c>
      <c r="P1855">
        <v>1</v>
      </c>
      <c r="Q1855">
        <v>1</v>
      </c>
      <c r="R1855">
        <v>1</v>
      </c>
      <c r="S1855">
        <v>1</v>
      </c>
    </row>
    <row r="1856" spans="1:19" x14ac:dyDescent="0.25">
      <c r="A1856" s="1">
        <v>0.76591119212962966</v>
      </c>
      <c r="B1856" s="145" t="s">
        <v>2</v>
      </c>
      <c r="C1856">
        <v>1855</v>
      </c>
      <c r="D1856">
        <v>0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1</v>
      </c>
      <c r="N1856">
        <v>1</v>
      </c>
      <c r="O1856">
        <v>1</v>
      </c>
      <c r="P1856">
        <v>1</v>
      </c>
      <c r="Q1856">
        <v>1</v>
      </c>
      <c r="R1856">
        <v>1</v>
      </c>
      <c r="S1856">
        <v>1</v>
      </c>
    </row>
    <row r="1857" spans="1:19" x14ac:dyDescent="0.25">
      <c r="A1857" s="1">
        <v>0.76591130787037032</v>
      </c>
      <c r="B1857" s="145" t="s">
        <v>165</v>
      </c>
      <c r="C1857">
        <v>1856</v>
      </c>
      <c r="D1857">
        <v>1</v>
      </c>
      <c r="E1857">
        <v>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1</v>
      </c>
      <c r="N1857">
        <v>1</v>
      </c>
      <c r="O1857">
        <v>1</v>
      </c>
      <c r="P1857">
        <v>1</v>
      </c>
      <c r="Q1857">
        <v>1</v>
      </c>
      <c r="R1857">
        <v>1</v>
      </c>
      <c r="S1857">
        <v>1</v>
      </c>
    </row>
    <row r="1858" spans="1:19" x14ac:dyDescent="0.25">
      <c r="A1858" s="1">
        <v>0.76591142361111109</v>
      </c>
      <c r="B1858" s="145" t="s">
        <v>165</v>
      </c>
      <c r="C1858">
        <v>1857</v>
      </c>
      <c r="D1858">
        <v>1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1</v>
      </c>
      <c r="N1858">
        <v>1</v>
      </c>
      <c r="O1858">
        <v>1</v>
      </c>
      <c r="P1858">
        <v>1</v>
      </c>
      <c r="Q1858">
        <v>1</v>
      </c>
      <c r="R1858">
        <v>1</v>
      </c>
      <c r="S1858">
        <v>1</v>
      </c>
    </row>
    <row r="1859" spans="1:19" x14ac:dyDescent="0.25">
      <c r="A1859" s="1">
        <v>0.76591153935185186</v>
      </c>
      <c r="B1859" s="145" t="s">
        <v>165</v>
      </c>
      <c r="C1859">
        <v>1858</v>
      </c>
      <c r="D1859">
        <v>1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1</v>
      </c>
      <c r="M1859">
        <v>1</v>
      </c>
      <c r="N1859">
        <v>1</v>
      </c>
      <c r="O1859">
        <v>1</v>
      </c>
      <c r="P1859">
        <v>1</v>
      </c>
      <c r="Q1859">
        <v>1</v>
      </c>
      <c r="R1859">
        <v>1</v>
      </c>
      <c r="S1859">
        <v>1</v>
      </c>
    </row>
    <row r="1860" spans="1:19" x14ac:dyDescent="0.25">
      <c r="A1860" s="1">
        <v>0.76591165509259262</v>
      </c>
      <c r="B1860" s="145" t="s">
        <v>165</v>
      </c>
      <c r="C1860">
        <v>1859</v>
      </c>
      <c r="D1860">
        <v>1</v>
      </c>
      <c r="E1860">
        <v>1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1</v>
      </c>
      <c r="O1860">
        <v>1</v>
      </c>
      <c r="P1860">
        <v>1</v>
      </c>
      <c r="Q1860">
        <v>1</v>
      </c>
      <c r="R1860">
        <v>1</v>
      </c>
      <c r="S1860">
        <v>1</v>
      </c>
    </row>
    <row r="1861" spans="1:19" x14ac:dyDescent="0.25">
      <c r="A1861" s="1">
        <v>0.76591177083333328</v>
      </c>
      <c r="B1861" s="145" t="s">
        <v>2</v>
      </c>
      <c r="C1861">
        <v>1860</v>
      </c>
      <c r="D1861">
        <v>0</v>
      </c>
      <c r="E1861">
        <v>1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1</v>
      </c>
      <c r="N1861">
        <v>1</v>
      </c>
      <c r="O1861">
        <v>1</v>
      </c>
      <c r="P1861">
        <v>1</v>
      </c>
      <c r="Q1861">
        <v>1</v>
      </c>
      <c r="R1861">
        <v>1</v>
      </c>
      <c r="S1861">
        <v>1</v>
      </c>
    </row>
    <row r="1862" spans="1:19" x14ac:dyDescent="0.25">
      <c r="A1862" s="1">
        <v>0.76591188657407405</v>
      </c>
      <c r="B1862" s="145" t="s">
        <v>2</v>
      </c>
      <c r="C1862">
        <v>1861</v>
      </c>
      <c r="D1862">
        <v>0</v>
      </c>
      <c r="E1862">
        <v>1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1</v>
      </c>
      <c r="N1862">
        <v>1</v>
      </c>
      <c r="O1862">
        <v>1</v>
      </c>
      <c r="P1862">
        <v>1</v>
      </c>
      <c r="Q1862">
        <v>1</v>
      </c>
      <c r="R1862">
        <v>1</v>
      </c>
      <c r="S1862">
        <v>1</v>
      </c>
    </row>
    <row r="1863" spans="1:19" x14ac:dyDescent="0.25">
      <c r="A1863" s="1">
        <v>0.76591200231481482</v>
      </c>
      <c r="B1863" s="145" t="s">
        <v>165</v>
      </c>
      <c r="C1863">
        <v>1862</v>
      </c>
      <c r="D1863">
        <v>1</v>
      </c>
      <c r="E1863">
        <v>1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1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</row>
    <row r="1864" spans="1:19" x14ac:dyDescent="0.25">
      <c r="A1864" s="1">
        <v>0.76591211805555559</v>
      </c>
      <c r="B1864" s="145" t="s">
        <v>165</v>
      </c>
      <c r="C1864">
        <v>1863</v>
      </c>
      <c r="D1864">
        <v>1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</v>
      </c>
      <c r="N1864">
        <v>1</v>
      </c>
      <c r="O1864">
        <v>1</v>
      </c>
      <c r="P1864">
        <v>1</v>
      </c>
      <c r="Q1864">
        <v>1</v>
      </c>
      <c r="R1864">
        <v>1</v>
      </c>
      <c r="S1864">
        <v>1</v>
      </c>
    </row>
    <row r="1865" spans="1:19" x14ac:dyDescent="0.25">
      <c r="A1865" s="1">
        <v>0.76591223379629625</v>
      </c>
      <c r="B1865" s="145" t="s">
        <v>165</v>
      </c>
      <c r="C1865">
        <v>1864</v>
      </c>
      <c r="D1865">
        <v>1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1</v>
      </c>
      <c r="N1865">
        <v>1</v>
      </c>
      <c r="O1865">
        <v>1</v>
      </c>
      <c r="P1865">
        <v>1</v>
      </c>
      <c r="Q1865">
        <v>1</v>
      </c>
      <c r="R1865">
        <v>1</v>
      </c>
      <c r="S1865">
        <v>1</v>
      </c>
    </row>
    <row r="1866" spans="1:19" x14ac:dyDescent="0.25">
      <c r="A1866" s="1">
        <v>0.76591234953703702</v>
      </c>
      <c r="B1866" s="145" t="s">
        <v>165</v>
      </c>
      <c r="C1866">
        <v>1865</v>
      </c>
      <c r="D1866">
        <v>1</v>
      </c>
      <c r="E1866">
        <v>1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1</v>
      </c>
      <c r="M1866">
        <v>1</v>
      </c>
      <c r="N1866">
        <v>1</v>
      </c>
      <c r="O1866">
        <v>1</v>
      </c>
      <c r="P1866">
        <v>1</v>
      </c>
      <c r="Q1866">
        <v>1</v>
      </c>
      <c r="R1866">
        <v>1</v>
      </c>
      <c r="S1866">
        <v>1</v>
      </c>
    </row>
    <row r="1867" spans="1:19" x14ac:dyDescent="0.25">
      <c r="A1867" s="1">
        <v>0.76591246527777779</v>
      </c>
      <c r="B1867" s="145" t="s">
        <v>2</v>
      </c>
      <c r="C1867">
        <v>1866</v>
      </c>
      <c r="D1867">
        <v>0</v>
      </c>
      <c r="E1867">
        <v>1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1</v>
      </c>
      <c r="N1867">
        <v>1</v>
      </c>
      <c r="O1867">
        <v>1</v>
      </c>
      <c r="P1867">
        <v>1</v>
      </c>
      <c r="Q1867">
        <v>1</v>
      </c>
      <c r="R1867">
        <v>1</v>
      </c>
      <c r="S1867">
        <v>1</v>
      </c>
    </row>
    <row r="1868" spans="1:19" x14ac:dyDescent="0.25">
      <c r="A1868" s="1">
        <v>0.76591256944444441</v>
      </c>
      <c r="B1868" s="145" t="s">
        <v>2</v>
      </c>
      <c r="C1868">
        <v>1867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1</v>
      </c>
      <c r="M1868">
        <v>1</v>
      </c>
      <c r="N1868">
        <v>1</v>
      </c>
      <c r="O1868">
        <v>1</v>
      </c>
      <c r="P1868">
        <v>1</v>
      </c>
      <c r="Q1868">
        <v>1</v>
      </c>
      <c r="R1868">
        <v>1</v>
      </c>
      <c r="S1868">
        <v>1</v>
      </c>
    </row>
    <row r="1869" spans="1:19" x14ac:dyDescent="0.25">
      <c r="A1869" s="1">
        <v>0.76591268518518518</v>
      </c>
      <c r="B1869" s="145" t="s">
        <v>165</v>
      </c>
      <c r="C1869">
        <v>1868</v>
      </c>
      <c r="D1869">
        <v>1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1</v>
      </c>
      <c r="N1869">
        <v>1</v>
      </c>
      <c r="O1869">
        <v>1</v>
      </c>
      <c r="P1869">
        <v>1</v>
      </c>
      <c r="Q1869">
        <v>1</v>
      </c>
      <c r="R1869">
        <v>1</v>
      </c>
      <c r="S1869">
        <v>1</v>
      </c>
    </row>
    <row r="1870" spans="1:19" x14ac:dyDescent="0.25">
      <c r="A1870" s="1">
        <v>0.76591280092592595</v>
      </c>
      <c r="B1870" s="145" t="s">
        <v>165</v>
      </c>
      <c r="C1870">
        <v>1869</v>
      </c>
      <c r="D1870">
        <v>1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1</v>
      </c>
      <c r="N1870">
        <v>1</v>
      </c>
      <c r="O1870">
        <v>1</v>
      </c>
      <c r="P1870">
        <v>1</v>
      </c>
      <c r="Q1870">
        <v>1</v>
      </c>
      <c r="R1870">
        <v>1</v>
      </c>
      <c r="S1870">
        <v>1</v>
      </c>
    </row>
    <row r="1871" spans="1:19" x14ac:dyDescent="0.25">
      <c r="A1871" s="1">
        <v>0.76591291666666672</v>
      </c>
      <c r="B1871" s="145" t="s">
        <v>165</v>
      </c>
      <c r="C1871">
        <v>1870</v>
      </c>
      <c r="D1871">
        <v>1</v>
      </c>
      <c r="E1871">
        <v>1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1</v>
      </c>
      <c r="O1871">
        <v>1</v>
      </c>
      <c r="P1871">
        <v>1</v>
      </c>
      <c r="Q1871">
        <v>1</v>
      </c>
      <c r="R1871">
        <v>1</v>
      </c>
      <c r="S1871">
        <v>1</v>
      </c>
    </row>
    <row r="1872" spans="1:19" x14ac:dyDescent="0.25">
      <c r="A1872" s="1">
        <v>0.76591303240740738</v>
      </c>
      <c r="B1872" s="145" t="s">
        <v>165</v>
      </c>
      <c r="C1872">
        <v>1871</v>
      </c>
      <c r="D1872">
        <v>1</v>
      </c>
      <c r="E1872">
        <v>1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1</v>
      </c>
      <c r="N1872">
        <v>1</v>
      </c>
      <c r="O1872">
        <v>1</v>
      </c>
      <c r="P1872">
        <v>1</v>
      </c>
      <c r="Q1872">
        <v>1</v>
      </c>
      <c r="R1872">
        <v>1</v>
      </c>
      <c r="S1872">
        <v>1</v>
      </c>
    </row>
    <row r="1873" spans="1:19" x14ac:dyDescent="0.25">
      <c r="A1873" s="1">
        <v>0.76591314814814815</v>
      </c>
      <c r="B1873" s="145" t="s">
        <v>2</v>
      </c>
      <c r="C1873">
        <v>1872</v>
      </c>
      <c r="D1873">
        <v>0</v>
      </c>
      <c r="E1873">
        <v>1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</v>
      </c>
      <c r="N1873">
        <v>1</v>
      </c>
      <c r="O1873">
        <v>1</v>
      </c>
      <c r="P1873">
        <v>1</v>
      </c>
      <c r="Q1873">
        <v>1</v>
      </c>
      <c r="R1873">
        <v>1</v>
      </c>
      <c r="S1873">
        <v>1</v>
      </c>
    </row>
    <row r="1874" spans="1:19" x14ac:dyDescent="0.25">
      <c r="A1874" s="1">
        <v>0.76591326388888892</v>
      </c>
      <c r="B1874" s="145" t="s">
        <v>2</v>
      </c>
      <c r="C1874">
        <v>1873</v>
      </c>
      <c r="D1874">
        <v>0</v>
      </c>
      <c r="E1874">
        <v>1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1</v>
      </c>
      <c r="N1874">
        <v>1</v>
      </c>
      <c r="O1874">
        <v>1</v>
      </c>
      <c r="P1874">
        <v>1</v>
      </c>
      <c r="Q1874">
        <v>1</v>
      </c>
      <c r="R1874">
        <v>1</v>
      </c>
      <c r="S1874">
        <v>1</v>
      </c>
    </row>
    <row r="1875" spans="1:19" x14ac:dyDescent="0.25">
      <c r="A1875" s="1">
        <v>0.76591337962962958</v>
      </c>
      <c r="B1875" s="145" t="s">
        <v>165</v>
      </c>
      <c r="C1875">
        <v>1874</v>
      </c>
      <c r="D1875">
        <v>1</v>
      </c>
      <c r="E1875">
        <v>1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1</v>
      </c>
      <c r="N1875">
        <v>1</v>
      </c>
      <c r="O1875">
        <v>1</v>
      </c>
      <c r="P1875">
        <v>1</v>
      </c>
      <c r="Q1875">
        <v>1</v>
      </c>
      <c r="R1875">
        <v>1</v>
      </c>
      <c r="S1875">
        <v>1</v>
      </c>
    </row>
    <row r="1876" spans="1:19" x14ac:dyDescent="0.25">
      <c r="A1876" s="1">
        <v>0.76591349537037035</v>
      </c>
      <c r="B1876" s="145" t="s">
        <v>165</v>
      </c>
      <c r="C1876">
        <v>1875</v>
      </c>
      <c r="D1876">
        <v>1</v>
      </c>
      <c r="E1876">
        <v>1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1</v>
      </c>
      <c r="N1876">
        <v>1</v>
      </c>
      <c r="O1876">
        <v>1</v>
      </c>
      <c r="P1876">
        <v>1</v>
      </c>
      <c r="Q1876">
        <v>1</v>
      </c>
      <c r="R1876">
        <v>1</v>
      </c>
      <c r="S1876">
        <v>1</v>
      </c>
    </row>
    <row r="1877" spans="1:19" x14ac:dyDescent="0.25">
      <c r="A1877" s="1">
        <v>0.76591361111111111</v>
      </c>
      <c r="B1877" s="145" t="s">
        <v>165</v>
      </c>
      <c r="C1877">
        <v>1876</v>
      </c>
      <c r="D1877">
        <v>1</v>
      </c>
      <c r="E1877">
        <v>1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1</v>
      </c>
      <c r="N1877">
        <v>1</v>
      </c>
      <c r="O1877">
        <v>1</v>
      </c>
      <c r="P1877">
        <v>1</v>
      </c>
      <c r="Q1877">
        <v>1</v>
      </c>
      <c r="R1877">
        <v>1</v>
      </c>
      <c r="S1877">
        <v>1</v>
      </c>
    </row>
    <row r="1878" spans="1:19" x14ac:dyDescent="0.25">
      <c r="A1878" s="1">
        <v>0.76591372685185188</v>
      </c>
      <c r="B1878" s="145" t="s">
        <v>165</v>
      </c>
      <c r="C1878">
        <v>1877</v>
      </c>
      <c r="D1878">
        <v>1</v>
      </c>
      <c r="E1878">
        <v>1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1</v>
      </c>
      <c r="N1878">
        <v>1</v>
      </c>
      <c r="O1878">
        <v>1</v>
      </c>
      <c r="P1878">
        <v>1</v>
      </c>
      <c r="Q1878">
        <v>1</v>
      </c>
      <c r="R1878">
        <v>1</v>
      </c>
      <c r="S1878">
        <v>1</v>
      </c>
    </row>
    <row r="1879" spans="1:19" x14ac:dyDescent="0.25">
      <c r="A1879" s="1">
        <v>0.76591384259259254</v>
      </c>
      <c r="B1879" s="145" t="s">
        <v>2</v>
      </c>
      <c r="C1879">
        <v>1878</v>
      </c>
      <c r="D1879">
        <v>0</v>
      </c>
      <c r="E1879">
        <v>1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1</v>
      </c>
      <c r="N1879">
        <v>1</v>
      </c>
      <c r="O1879">
        <v>1</v>
      </c>
      <c r="P1879">
        <v>1</v>
      </c>
      <c r="Q1879">
        <v>1</v>
      </c>
      <c r="R1879">
        <v>1</v>
      </c>
      <c r="S1879">
        <v>1</v>
      </c>
    </row>
    <row r="1880" spans="1:19" x14ac:dyDescent="0.25">
      <c r="A1880" s="1">
        <v>0.76591395833333331</v>
      </c>
      <c r="B1880" s="145" t="s">
        <v>2</v>
      </c>
      <c r="C1880">
        <v>1879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1</v>
      </c>
      <c r="N1880">
        <v>1</v>
      </c>
      <c r="O1880">
        <v>1</v>
      </c>
      <c r="P1880">
        <v>1</v>
      </c>
      <c r="Q1880">
        <v>1</v>
      </c>
      <c r="R1880">
        <v>1</v>
      </c>
      <c r="S1880">
        <v>1</v>
      </c>
    </row>
    <row r="1881" spans="1:19" x14ac:dyDescent="0.25">
      <c r="A1881" s="1">
        <v>0.76591407407407408</v>
      </c>
      <c r="B1881" s="145" t="s">
        <v>165</v>
      </c>
      <c r="C1881">
        <v>1880</v>
      </c>
      <c r="D1881">
        <v>1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1</v>
      </c>
      <c r="N1881">
        <v>1</v>
      </c>
      <c r="O1881">
        <v>1</v>
      </c>
      <c r="P1881">
        <v>1</v>
      </c>
      <c r="Q1881">
        <v>1</v>
      </c>
      <c r="R1881">
        <v>1</v>
      </c>
      <c r="S1881">
        <v>1</v>
      </c>
    </row>
    <row r="1882" spans="1:19" x14ac:dyDescent="0.25">
      <c r="A1882" s="1">
        <v>0.76591418981481485</v>
      </c>
      <c r="B1882" s="145" t="s">
        <v>165</v>
      </c>
      <c r="C1882">
        <v>1881</v>
      </c>
      <c r="D1882">
        <v>1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1</v>
      </c>
      <c r="N1882">
        <v>1</v>
      </c>
      <c r="O1882">
        <v>1</v>
      </c>
      <c r="P1882">
        <v>1</v>
      </c>
      <c r="Q1882">
        <v>1</v>
      </c>
      <c r="R1882">
        <v>1</v>
      </c>
      <c r="S1882">
        <v>1</v>
      </c>
    </row>
    <row r="1883" spans="1:19" x14ac:dyDescent="0.25">
      <c r="A1883" s="1">
        <v>0.76591430555555551</v>
      </c>
      <c r="B1883" s="145" t="s">
        <v>165</v>
      </c>
      <c r="C1883">
        <v>1882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</v>
      </c>
      <c r="N1883">
        <v>1</v>
      </c>
      <c r="O1883">
        <v>1</v>
      </c>
      <c r="P1883">
        <v>1</v>
      </c>
      <c r="Q1883">
        <v>1</v>
      </c>
      <c r="R1883">
        <v>1</v>
      </c>
      <c r="S1883">
        <v>1</v>
      </c>
    </row>
    <row r="1884" spans="1:19" x14ac:dyDescent="0.25">
      <c r="A1884" s="1">
        <v>0.76591442129629628</v>
      </c>
      <c r="B1884" s="145" t="s">
        <v>165</v>
      </c>
      <c r="C1884">
        <v>1883</v>
      </c>
      <c r="D1884">
        <v>1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1</v>
      </c>
      <c r="M1884">
        <v>1</v>
      </c>
      <c r="N1884">
        <v>1</v>
      </c>
      <c r="O1884">
        <v>1</v>
      </c>
      <c r="P1884">
        <v>1</v>
      </c>
      <c r="Q1884">
        <v>1</v>
      </c>
      <c r="R1884">
        <v>1</v>
      </c>
      <c r="S1884">
        <v>1</v>
      </c>
    </row>
    <row r="1885" spans="1:19" x14ac:dyDescent="0.25">
      <c r="A1885" s="1">
        <v>0.76591453703703705</v>
      </c>
      <c r="B1885" s="145" t="s">
        <v>2</v>
      </c>
      <c r="C1885">
        <v>1884</v>
      </c>
      <c r="D1885">
        <v>0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1</v>
      </c>
      <c r="M1885">
        <v>1</v>
      </c>
      <c r="N1885">
        <v>1</v>
      </c>
      <c r="O1885">
        <v>1</v>
      </c>
      <c r="P1885">
        <v>1</v>
      </c>
      <c r="Q1885">
        <v>1</v>
      </c>
      <c r="R1885">
        <v>1</v>
      </c>
      <c r="S1885">
        <v>1</v>
      </c>
    </row>
    <row r="1886" spans="1:19" x14ac:dyDescent="0.25">
      <c r="A1886" s="1">
        <v>0.76591465277777782</v>
      </c>
      <c r="B1886" s="145" t="s">
        <v>2</v>
      </c>
      <c r="C1886">
        <v>1885</v>
      </c>
      <c r="D1886">
        <v>0</v>
      </c>
      <c r="E1886">
        <v>1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1</v>
      </c>
      <c r="N1886">
        <v>1</v>
      </c>
      <c r="O1886">
        <v>1</v>
      </c>
      <c r="P1886">
        <v>1</v>
      </c>
      <c r="Q1886">
        <v>1</v>
      </c>
      <c r="R1886">
        <v>1</v>
      </c>
      <c r="S1886">
        <v>1</v>
      </c>
    </row>
    <row r="1887" spans="1:19" x14ac:dyDescent="0.25">
      <c r="A1887" s="1">
        <v>0.76591476851851847</v>
      </c>
      <c r="B1887" s="145" t="s">
        <v>165</v>
      </c>
      <c r="C1887">
        <v>1886</v>
      </c>
      <c r="D1887">
        <v>1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1</v>
      </c>
      <c r="N1887">
        <v>1</v>
      </c>
      <c r="O1887">
        <v>1</v>
      </c>
      <c r="P1887">
        <v>1</v>
      </c>
      <c r="Q1887">
        <v>1</v>
      </c>
      <c r="R1887">
        <v>1</v>
      </c>
      <c r="S1887">
        <v>1</v>
      </c>
    </row>
    <row r="1888" spans="1:19" x14ac:dyDescent="0.25">
      <c r="A1888" s="1">
        <v>0.76591488425925924</v>
      </c>
      <c r="B1888" s="145" t="s">
        <v>165</v>
      </c>
      <c r="C1888">
        <v>1887</v>
      </c>
      <c r="D1888">
        <v>1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1</v>
      </c>
      <c r="N1888">
        <v>1</v>
      </c>
      <c r="O1888">
        <v>1</v>
      </c>
      <c r="P1888">
        <v>1</v>
      </c>
      <c r="Q1888">
        <v>1</v>
      </c>
      <c r="R1888">
        <v>1</v>
      </c>
      <c r="S1888">
        <v>1</v>
      </c>
    </row>
    <row r="1889" spans="1:19" x14ac:dyDescent="0.25">
      <c r="A1889" s="1">
        <v>0.76591500000000001</v>
      </c>
      <c r="B1889" s="145" t="s">
        <v>165</v>
      </c>
      <c r="C1889">
        <v>1888</v>
      </c>
      <c r="D1889">
        <v>1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1</v>
      </c>
      <c r="M1889">
        <v>1</v>
      </c>
      <c r="N1889">
        <v>1</v>
      </c>
      <c r="O1889">
        <v>1</v>
      </c>
      <c r="P1889">
        <v>1</v>
      </c>
      <c r="Q1889">
        <v>1</v>
      </c>
      <c r="R1889">
        <v>1</v>
      </c>
      <c r="S1889">
        <v>1</v>
      </c>
    </row>
    <row r="1890" spans="1:19" x14ac:dyDescent="0.25">
      <c r="A1890" s="1">
        <v>0.76591511574074078</v>
      </c>
      <c r="B1890" s="145" t="s">
        <v>165</v>
      </c>
      <c r="C1890">
        <v>1889</v>
      </c>
      <c r="D1890">
        <v>1</v>
      </c>
      <c r="E1890">
        <v>1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1</v>
      </c>
      <c r="N1890">
        <v>1</v>
      </c>
      <c r="O1890">
        <v>1</v>
      </c>
      <c r="P1890">
        <v>1</v>
      </c>
      <c r="Q1890">
        <v>1</v>
      </c>
      <c r="R1890">
        <v>1</v>
      </c>
      <c r="S1890">
        <v>1</v>
      </c>
    </row>
    <row r="1891" spans="1:19" x14ac:dyDescent="0.25">
      <c r="A1891" s="1">
        <v>0.76591523148148144</v>
      </c>
      <c r="B1891" s="145" t="s">
        <v>2</v>
      </c>
      <c r="C1891">
        <v>1890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1</v>
      </c>
      <c r="N1891">
        <v>1</v>
      </c>
      <c r="O1891">
        <v>1</v>
      </c>
      <c r="P1891">
        <v>1</v>
      </c>
      <c r="Q1891">
        <v>1</v>
      </c>
      <c r="R1891">
        <v>1</v>
      </c>
      <c r="S1891">
        <v>1</v>
      </c>
    </row>
    <row r="1892" spans="1:19" x14ac:dyDescent="0.25">
      <c r="A1892" s="1">
        <v>0.76591534722222221</v>
      </c>
      <c r="B1892" s="145" t="s">
        <v>2</v>
      </c>
      <c r="C1892">
        <v>1891</v>
      </c>
      <c r="D1892">
        <v>0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1</v>
      </c>
      <c r="N1892">
        <v>1</v>
      </c>
      <c r="O1892">
        <v>1</v>
      </c>
      <c r="P1892">
        <v>1</v>
      </c>
      <c r="Q1892">
        <v>1</v>
      </c>
      <c r="R1892">
        <v>1</v>
      </c>
      <c r="S1892">
        <v>1</v>
      </c>
    </row>
    <row r="1893" spans="1:19" x14ac:dyDescent="0.25">
      <c r="A1893" s="1">
        <v>0.76591546296296298</v>
      </c>
      <c r="B1893" s="145" t="s">
        <v>165</v>
      </c>
      <c r="C1893">
        <v>1892</v>
      </c>
      <c r="D1893">
        <v>1</v>
      </c>
      <c r="E1893">
        <v>1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1</v>
      </c>
      <c r="M1893">
        <v>1</v>
      </c>
      <c r="N1893">
        <v>1</v>
      </c>
      <c r="O1893">
        <v>1</v>
      </c>
      <c r="P1893">
        <v>1</v>
      </c>
      <c r="Q1893">
        <v>1</v>
      </c>
      <c r="R1893">
        <v>1</v>
      </c>
      <c r="S1893">
        <v>1</v>
      </c>
    </row>
    <row r="1894" spans="1:19" x14ac:dyDescent="0.25">
      <c r="A1894" s="1">
        <v>0.76591557870370375</v>
      </c>
      <c r="B1894" s="145" t="s">
        <v>165</v>
      </c>
      <c r="C1894">
        <v>1893</v>
      </c>
      <c r="D1894">
        <v>1</v>
      </c>
      <c r="E1894">
        <v>1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1</v>
      </c>
      <c r="O1894">
        <v>1</v>
      </c>
      <c r="P1894">
        <v>1</v>
      </c>
      <c r="Q1894">
        <v>1</v>
      </c>
      <c r="R1894">
        <v>1</v>
      </c>
      <c r="S1894">
        <v>1</v>
      </c>
    </row>
    <row r="1895" spans="1:19" x14ac:dyDescent="0.25">
      <c r="A1895" s="1">
        <v>0.76591569444444441</v>
      </c>
      <c r="B1895" s="145" t="s">
        <v>165</v>
      </c>
      <c r="C1895">
        <v>1894</v>
      </c>
      <c r="D1895">
        <v>1</v>
      </c>
      <c r="E1895">
        <v>1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1</v>
      </c>
      <c r="M1895">
        <v>1</v>
      </c>
      <c r="N1895">
        <v>1</v>
      </c>
      <c r="O1895">
        <v>1</v>
      </c>
      <c r="P1895">
        <v>1</v>
      </c>
      <c r="Q1895">
        <v>1</v>
      </c>
      <c r="R1895">
        <v>1</v>
      </c>
      <c r="S1895">
        <v>1</v>
      </c>
    </row>
    <row r="1896" spans="1:19" x14ac:dyDescent="0.25">
      <c r="A1896" s="1">
        <v>0.76591581018518518</v>
      </c>
      <c r="B1896" s="145" t="s">
        <v>165</v>
      </c>
      <c r="C1896">
        <v>1895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1</v>
      </c>
      <c r="N1896">
        <v>1</v>
      </c>
      <c r="O1896">
        <v>1</v>
      </c>
      <c r="P1896">
        <v>1</v>
      </c>
      <c r="Q1896">
        <v>1</v>
      </c>
      <c r="R1896">
        <v>1</v>
      </c>
      <c r="S1896">
        <v>1</v>
      </c>
    </row>
    <row r="1897" spans="1:19" x14ac:dyDescent="0.25">
      <c r="A1897" s="1">
        <v>0.76591592592592594</v>
      </c>
      <c r="B1897" s="145" t="s">
        <v>2</v>
      </c>
      <c r="C1897">
        <v>1896</v>
      </c>
      <c r="D1897">
        <v>0</v>
      </c>
      <c r="E1897">
        <v>1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1</v>
      </c>
      <c r="O1897">
        <v>1</v>
      </c>
      <c r="P1897">
        <v>1</v>
      </c>
      <c r="Q1897">
        <v>1</v>
      </c>
      <c r="R1897">
        <v>1</v>
      </c>
      <c r="S1897">
        <v>1</v>
      </c>
    </row>
    <row r="1898" spans="1:19" x14ac:dyDescent="0.25">
      <c r="A1898" s="1">
        <v>0.76591604166666671</v>
      </c>
      <c r="B1898" s="145" t="s">
        <v>2</v>
      </c>
      <c r="C1898">
        <v>1897</v>
      </c>
      <c r="D1898">
        <v>0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1</v>
      </c>
      <c r="N1898">
        <v>1</v>
      </c>
      <c r="O1898">
        <v>1</v>
      </c>
      <c r="P1898">
        <v>1</v>
      </c>
      <c r="Q1898">
        <v>1</v>
      </c>
      <c r="R1898">
        <v>1</v>
      </c>
      <c r="S1898">
        <v>1</v>
      </c>
    </row>
    <row r="1899" spans="1:19" x14ac:dyDescent="0.25">
      <c r="A1899" s="1">
        <v>0.76591615740740737</v>
      </c>
      <c r="B1899" s="145" t="s">
        <v>165</v>
      </c>
      <c r="C1899">
        <v>1898</v>
      </c>
      <c r="D1899">
        <v>1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1</v>
      </c>
      <c r="O1899">
        <v>1</v>
      </c>
      <c r="P1899">
        <v>1</v>
      </c>
      <c r="Q1899">
        <v>1</v>
      </c>
      <c r="R1899">
        <v>1</v>
      </c>
      <c r="S1899">
        <v>1</v>
      </c>
    </row>
    <row r="1900" spans="1:19" x14ac:dyDescent="0.25">
      <c r="A1900" s="1">
        <v>0.76591627314814814</v>
      </c>
      <c r="B1900" s="145" t="s">
        <v>165</v>
      </c>
      <c r="C1900">
        <v>1899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1</v>
      </c>
      <c r="N1900">
        <v>1</v>
      </c>
      <c r="O1900">
        <v>1</v>
      </c>
      <c r="P1900">
        <v>1</v>
      </c>
      <c r="Q1900">
        <v>1</v>
      </c>
      <c r="R1900">
        <v>1</v>
      </c>
      <c r="S1900">
        <v>1</v>
      </c>
    </row>
    <row r="1901" spans="1:19" x14ac:dyDescent="0.25">
      <c r="A1901" s="1">
        <v>0.76591638888888891</v>
      </c>
      <c r="B1901" s="145" t="s">
        <v>165</v>
      </c>
      <c r="C1901">
        <v>1900</v>
      </c>
      <c r="D1901">
        <v>1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1</v>
      </c>
      <c r="N1901">
        <v>1</v>
      </c>
      <c r="O1901">
        <v>1</v>
      </c>
      <c r="P1901">
        <v>1</v>
      </c>
      <c r="Q1901">
        <v>1</v>
      </c>
      <c r="R1901">
        <v>1</v>
      </c>
      <c r="S1901">
        <v>1</v>
      </c>
    </row>
    <row r="1902" spans="1:19" x14ac:dyDescent="0.25">
      <c r="A1902" s="1">
        <v>0.76591650462962968</v>
      </c>
      <c r="B1902" s="145" t="s">
        <v>165</v>
      </c>
      <c r="C1902">
        <v>1901</v>
      </c>
      <c r="D1902">
        <v>1</v>
      </c>
      <c r="E1902">
        <v>1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</row>
    <row r="1903" spans="1:19" x14ac:dyDescent="0.25">
      <c r="A1903" s="1">
        <v>0.76591662037037034</v>
      </c>
      <c r="B1903" s="145" t="s">
        <v>2</v>
      </c>
      <c r="C1903">
        <v>1902</v>
      </c>
      <c r="D1903">
        <v>0</v>
      </c>
      <c r="E1903">
        <v>1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1</v>
      </c>
      <c r="N1903">
        <v>1</v>
      </c>
      <c r="O1903">
        <v>1</v>
      </c>
      <c r="P1903">
        <v>1</v>
      </c>
      <c r="Q1903">
        <v>1</v>
      </c>
      <c r="R1903">
        <v>1</v>
      </c>
      <c r="S1903">
        <v>1</v>
      </c>
    </row>
    <row r="1904" spans="1:19" x14ac:dyDescent="0.25">
      <c r="A1904" s="1">
        <v>0.76591673611111111</v>
      </c>
      <c r="B1904" s="145" t="s">
        <v>2</v>
      </c>
      <c r="C1904">
        <v>1903</v>
      </c>
      <c r="D1904">
        <v>0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1</v>
      </c>
      <c r="M1904">
        <v>1</v>
      </c>
      <c r="N1904">
        <v>1</v>
      </c>
      <c r="O1904">
        <v>1</v>
      </c>
      <c r="P1904">
        <v>1</v>
      </c>
      <c r="Q1904">
        <v>1</v>
      </c>
      <c r="R1904">
        <v>1</v>
      </c>
      <c r="S1904">
        <v>1</v>
      </c>
    </row>
    <row r="1905" spans="1:19" x14ac:dyDescent="0.25">
      <c r="A1905" s="1">
        <v>0.76591685185185188</v>
      </c>
      <c r="B1905" s="145" t="s">
        <v>165</v>
      </c>
      <c r="C1905">
        <v>1904</v>
      </c>
      <c r="D1905">
        <v>1</v>
      </c>
      <c r="E1905">
        <v>1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1</v>
      </c>
      <c r="P1905">
        <v>1</v>
      </c>
      <c r="Q1905">
        <v>1</v>
      </c>
      <c r="R1905">
        <v>1</v>
      </c>
      <c r="S1905">
        <v>1</v>
      </c>
    </row>
    <row r="1906" spans="1:19" x14ac:dyDescent="0.25">
      <c r="A1906" s="1">
        <v>0.76591696759259265</v>
      </c>
      <c r="B1906" s="145" t="s">
        <v>165</v>
      </c>
      <c r="C1906">
        <v>1905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1</v>
      </c>
      <c r="N1906">
        <v>1</v>
      </c>
      <c r="O1906">
        <v>1</v>
      </c>
      <c r="P1906">
        <v>1</v>
      </c>
      <c r="Q1906">
        <v>1</v>
      </c>
      <c r="R1906">
        <v>1</v>
      </c>
      <c r="S1906">
        <v>1</v>
      </c>
    </row>
    <row r="1907" spans="1:19" x14ac:dyDescent="0.25">
      <c r="A1907" s="1">
        <v>0.7659170833333333</v>
      </c>
      <c r="B1907" s="145" t="s">
        <v>165</v>
      </c>
      <c r="C1907">
        <v>1906</v>
      </c>
      <c r="D1907">
        <v>1</v>
      </c>
      <c r="E1907">
        <v>1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1</v>
      </c>
      <c r="N1907">
        <v>1</v>
      </c>
      <c r="O1907">
        <v>1</v>
      </c>
      <c r="P1907">
        <v>1</v>
      </c>
      <c r="Q1907">
        <v>1</v>
      </c>
      <c r="R1907">
        <v>1</v>
      </c>
      <c r="S1907">
        <v>1</v>
      </c>
    </row>
    <row r="1908" spans="1:19" x14ac:dyDescent="0.25">
      <c r="A1908" s="1">
        <v>0.76591719907407407</v>
      </c>
      <c r="B1908" s="145" t="s">
        <v>165</v>
      </c>
      <c r="C1908">
        <v>1907</v>
      </c>
      <c r="D1908">
        <v>1</v>
      </c>
      <c r="E1908">
        <v>1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1</v>
      </c>
      <c r="Q1908">
        <v>1</v>
      </c>
      <c r="R1908">
        <v>1</v>
      </c>
      <c r="S1908">
        <v>1</v>
      </c>
    </row>
    <row r="1909" spans="1:19" x14ac:dyDescent="0.25">
      <c r="A1909" s="1">
        <v>0.76591731481481484</v>
      </c>
      <c r="B1909" s="145" t="s">
        <v>2</v>
      </c>
      <c r="C1909">
        <v>1908</v>
      </c>
      <c r="D1909">
        <v>0</v>
      </c>
      <c r="E1909">
        <v>1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1</v>
      </c>
    </row>
    <row r="1910" spans="1:19" x14ac:dyDescent="0.25">
      <c r="A1910" s="1">
        <v>0.7659174305555555</v>
      </c>
      <c r="B1910" s="145" t="s">
        <v>2</v>
      </c>
      <c r="C1910">
        <v>1909</v>
      </c>
      <c r="D1910">
        <v>0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1</v>
      </c>
      <c r="N1910">
        <v>1</v>
      </c>
      <c r="O1910">
        <v>1</v>
      </c>
      <c r="P1910">
        <v>1</v>
      </c>
      <c r="Q1910">
        <v>1</v>
      </c>
      <c r="R1910">
        <v>1</v>
      </c>
      <c r="S1910">
        <v>1</v>
      </c>
    </row>
    <row r="1911" spans="1:19" x14ac:dyDescent="0.25">
      <c r="A1911" s="1">
        <v>0.76591754629629627</v>
      </c>
      <c r="B1911" s="145" t="s">
        <v>165</v>
      </c>
      <c r="C1911">
        <v>1910</v>
      </c>
      <c r="D1911">
        <v>1</v>
      </c>
      <c r="E1911">
        <v>1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1</v>
      </c>
      <c r="N1911">
        <v>1</v>
      </c>
      <c r="O1911">
        <v>1</v>
      </c>
      <c r="P1911">
        <v>1</v>
      </c>
      <c r="Q1911">
        <v>1</v>
      </c>
      <c r="R1911">
        <v>1</v>
      </c>
      <c r="S1911">
        <v>1</v>
      </c>
    </row>
    <row r="1912" spans="1:19" x14ac:dyDescent="0.25">
      <c r="A1912" s="1">
        <v>0.76591766203703704</v>
      </c>
      <c r="B1912" s="145" t="s">
        <v>165</v>
      </c>
      <c r="C1912">
        <v>1911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1</v>
      </c>
      <c r="N1912">
        <v>1</v>
      </c>
      <c r="O1912">
        <v>1</v>
      </c>
      <c r="P1912">
        <v>1</v>
      </c>
      <c r="Q1912">
        <v>1</v>
      </c>
      <c r="R1912">
        <v>1</v>
      </c>
      <c r="S1912">
        <v>1</v>
      </c>
    </row>
    <row r="1913" spans="1:19" x14ac:dyDescent="0.25">
      <c r="A1913" s="1">
        <v>0.76591777777777781</v>
      </c>
      <c r="B1913" s="145" t="s">
        <v>165</v>
      </c>
      <c r="C1913">
        <v>1912</v>
      </c>
      <c r="D1913">
        <v>1</v>
      </c>
      <c r="E1913">
        <v>1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1</v>
      </c>
      <c r="N1913">
        <v>1</v>
      </c>
      <c r="O1913">
        <v>1</v>
      </c>
      <c r="P1913">
        <v>1</v>
      </c>
      <c r="Q1913">
        <v>1</v>
      </c>
      <c r="R1913">
        <v>1</v>
      </c>
      <c r="S1913">
        <v>1</v>
      </c>
    </row>
    <row r="1914" spans="1:19" x14ac:dyDescent="0.25">
      <c r="A1914" s="1">
        <v>0.76591789351851847</v>
      </c>
      <c r="B1914" s="145" t="s">
        <v>165</v>
      </c>
      <c r="C1914">
        <v>1913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1</v>
      </c>
      <c r="N1914">
        <v>1</v>
      </c>
      <c r="O1914">
        <v>1</v>
      </c>
      <c r="P1914">
        <v>1</v>
      </c>
      <c r="Q1914">
        <v>1</v>
      </c>
      <c r="R1914">
        <v>1</v>
      </c>
      <c r="S1914">
        <v>1</v>
      </c>
    </row>
    <row r="1915" spans="1:19" x14ac:dyDescent="0.25">
      <c r="A1915" s="1">
        <v>0.76591800925925924</v>
      </c>
      <c r="B1915" s="145" t="s">
        <v>2</v>
      </c>
      <c r="C1915">
        <v>1914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1</v>
      </c>
      <c r="N1915">
        <v>1</v>
      </c>
      <c r="O1915">
        <v>1</v>
      </c>
      <c r="P1915">
        <v>1</v>
      </c>
      <c r="Q1915">
        <v>1</v>
      </c>
      <c r="R1915">
        <v>1</v>
      </c>
      <c r="S1915">
        <v>1</v>
      </c>
    </row>
    <row r="1916" spans="1:19" x14ac:dyDescent="0.25">
      <c r="A1916" s="1">
        <v>0.76591812500000001</v>
      </c>
      <c r="B1916" s="145" t="s">
        <v>2</v>
      </c>
      <c r="C1916">
        <v>1915</v>
      </c>
      <c r="D1916">
        <v>0</v>
      </c>
      <c r="E1916">
        <v>1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1</v>
      </c>
      <c r="N1916">
        <v>1</v>
      </c>
      <c r="O1916">
        <v>1</v>
      </c>
      <c r="P1916">
        <v>1</v>
      </c>
      <c r="Q1916">
        <v>1</v>
      </c>
      <c r="R1916">
        <v>1</v>
      </c>
      <c r="S1916">
        <v>1</v>
      </c>
    </row>
    <row r="1917" spans="1:19" x14ac:dyDescent="0.25">
      <c r="A1917" s="1">
        <v>0.76591824074074077</v>
      </c>
      <c r="B1917" s="145" t="s">
        <v>165</v>
      </c>
      <c r="C1917">
        <v>1916</v>
      </c>
      <c r="D1917">
        <v>1</v>
      </c>
      <c r="E1917">
        <v>1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1</v>
      </c>
      <c r="M1917">
        <v>1</v>
      </c>
      <c r="N1917">
        <v>1</v>
      </c>
      <c r="O1917">
        <v>1</v>
      </c>
      <c r="P1917">
        <v>1</v>
      </c>
      <c r="Q1917">
        <v>1</v>
      </c>
      <c r="R1917">
        <v>1</v>
      </c>
      <c r="S1917">
        <v>1</v>
      </c>
    </row>
    <row r="1918" spans="1:19" x14ac:dyDescent="0.25">
      <c r="A1918" s="1">
        <v>0.76591835648148143</v>
      </c>
      <c r="B1918" s="145" t="s">
        <v>165</v>
      </c>
      <c r="C1918">
        <v>1917</v>
      </c>
      <c r="D1918">
        <v>1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1</v>
      </c>
      <c r="N1918">
        <v>1</v>
      </c>
      <c r="O1918">
        <v>1</v>
      </c>
      <c r="P1918">
        <v>1</v>
      </c>
      <c r="Q1918">
        <v>1</v>
      </c>
      <c r="R1918">
        <v>1</v>
      </c>
      <c r="S1918">
        <v>1</v>
      </c>
    </row>
    <row r="1919" spans="1:19" x14ac:dyDescent="0.25">
      <c r="A1919" s="1">
        <v>0.7659184722222222</v>
      </c>
      <c r="B1919" s="145" t="s">
        <v>165</v>
      </c>
      <c r="C1919">
        <v>1918</v>
      </c>
      <c r="D1919">
        <v>1</v>
      </c>
      <c r="E1919">
        <v>1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1</v>
      </c>
      <c r="N1919">
        <v>1</v>
      </c>
      <c r="O1919">
        <v>1</v>
      </c>
      <c r="P1919">
        <v>1</v>
      </c>
      <c r="Q1919">
        <v>1</v>
      </c>
      <c r="R1919">
        <v>1</v>
      </c>
      <c r="S1919">
        <v>1</v>
      </c>
    </row>
    <row r="1920" spans="1:19" x14ac:dyDescent="0.25">
      <c r="A1920" s="1">
        <v>0.76591858796296297</v>
      </c>
      <c r="B1920" s="145" t="s">
        <v>165</v>
      </c>
      <c r="C1920">
        <v>1919</v>
      </c>
      <c r="D1920">
        <v>1</v>
      </c>
      <c r="E1920">
        <v>1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1</v>
      </c>
      <c r="O1920">
        <v>1</v>
      </c>
      <c r="P1920">
        <v>1</v>
      </c>
      <c r="Q1920">
        <v>1</v>
      </c>
      <c r="R1920">
        <v>1</v>
      </c>
      <c r="S1920">
        <v>1</v>
      </c>
    </row>
    <row r="1921" spans="1:19" x14ac:dyDescent="0.25">
      <c r="A1921" s="1">
        <v>0.76591870370370374</v>
      </c>
      <c r="B1921" s="145" t="s">
        <v>2</v>
      </c>
      <c r="C1921">
        <v>1920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1</v>
      </c>
      <c r="N1921">
        <v>1</v>
      </c>
      <c r="O1921">
        <v>1</v>
      </c>
      <c r="P1921">
        <v>1</v>
      </c>
      <c r="Q1921">
        <v>1</v>
      </c>
      <c r="R1921">
        <v>1</v>
      </c>
      <c r="S1921">
        <v>1</v>
      </c>
    </row>
    <row r="1922" spans="1:19" x14ac:dyDescent="0.25">
      <c r="A1922" s="1">
        <v>0.7659188194444444</v>
      </c>
      <c r="B1922" s="145" t="s">
        <v>2</v>
      </c>
      <c r="C1922">
        <v>1921</v>
      </c>
      <c r="D1922">
        <v>0</v>
      </c>
      <c r="E1922">
        <v>1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1</v>
      </c>
      <c r="N1922">
        <v>1</v>
      </c>
      <c r="O1922">
        <v>1</v>
      </c>
      <c r="P1922">
        <v>1</v>
      </c>
      <c r="Q1922">
        <v>1</v>
      </c>
      <c r="R1922">
        <v>1</v>
      </c>
      <c r="S1922">
        <v>1</v>
      </c>
    </row>
    <row r="1923" spans="1:19" x14ac:dyDescent="0.25">
      <c r="A1923" s="1">
        <v>0.76591893518518517</v>
      </c>
      <c r="B1923" s="145" t="s">
        <v>165</v>
      </c>
      <c r="C1923">
        <v>1922</v>
      </c>
      <c r="D1923">
        <v>1</v>
      </c>
      <c r="E1923">
        <v>1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</row>
    <row r="1924" spans="1:19" x14ac:dyDescent="0.25">
      <c r="A1924" s="1">
        <v>0.76591905092592594</v>
      </c>
      <c r="B1924" s="145" t="s">
        <v>165</v>
      </c>
      <c r="C1924">
        <v>1923</v>
      </c>
      <c r="D1924">
        <v>1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</v>
      </c>
      <c r="M1924">
        <v>1</v>
      </c>
      <c r="N1924">
        <v>1</v>
      </c>
      <c r="O1924">
        <v>1</v>
      </c>
      <c r="P1924">
        <v>1</v>
      </c>
      <c r="Q1924">
        <v>1</v>
      </c>
      <c r="R1924">
        <v>1</v>
      </c>
      <c r="S1924">
        <v>1</v>
      </c>
    </row>
    <row r="1925" spans="1:19" x14ac:dyDescent="0.25">
      <c r="A1925" s="1">
        <v>0.76591916666666671</v>
      </c>
      <c r="B1925" s="145" t="s">
        <v>165</v>
      </c>
      <c r="C1925">
        <v>1924</v>
      </c>
      <c r="D1925">
        <v>1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</v>
      </c>
      <c r="N1925">
        <v>1</v>
      </c>
      <c r="O1925">
        <v>1</v>
      </c>
      <c r="P1925">
        <v>1</v>
      </c>
      <c r="Q1925">
        <v>1</v>
      </c>
      <c r="R1925">
        <v>1</v>
      </c>
      <c r="S1925">
        <v>1</v>
      </c>
    </row>
    <row r="1926" spans="1:19" x14ac:dyDescent="0.25">
      <c r="A1926" s="1">
        <v>0.76591928240740736</v>
      </c>
      <c r="B1926" s="145" t="s">
        <v>165</v>
      </c>
      <c r="C1926">
        <v>1925</v>
      </c>
      <c r="D1926">
        <v>1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</v>
      </c>
      <c r="M1926">
        <v>1</v>
      </c>
      <c r="N1926">
        <v>1</v>
      </c>
      <c r="O1926">
        <v>1</v>
      </c>
      <c r="P1926">
        <v>1</v>
      </c>
      <c r="Q1926">
        <v>1</v>
      </c>
      <c r="R1926">
        <v>1</v>
      </c>
      <c r="S1926">
        <v>1</v>
      </c>
    </row>
    <row r="1927" spans="1:19" x14ac:dyDescent="0.25">
      <c r="A1927" s="1">
        <v>0.7659193865740741</v>
      </c>
      <c r="B1927" s="145" t="s">
        <v>2</v>
      </c>
      <c r="C1927">
        <v>1926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1</v>
      </c>
      <c r="M1927">
        <v>1</v>
      </c>
      <c r="N1927">
        <v>1</v>
      </c>
      <c r="O1927">
        <v>1</v>
      </c>
      <c r="P1927">
        <v>1</v>
      </c>
      <c r="Q1927">
        <v>1</v>
      </c>
      <c r="R1927">
        <v>1</v>
      </c>
      <c r="S1927">
        <v>1</v>
      </c>
    </row>
    <row r="1928" spans="1:19" x14ac:dyDescent="0.25">
      <c r="A1928" s="1">
        <v>0.76591950231481476</v>
      </c>
      <c r="B1928" s="145" t="s">
        <v>2</v>
      </c>
      <c r="C1928">
        <v>1927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1</v>
      </c>
      <c r="O1928">
        <v>1</v>
      </c>
      <c r="P1928">
        <v>1</v>
      </c>
      <c r="Q1928">
        <v>1</v>
      </c>
      <c r="R1928">
        <v>1</v>
      </c>
      <c r="S1928">
        <v>1</v>
      </c>
    </row>
    <row r="1929" spans="1:19" x14ac:dyDescent="0.25">
      <c r="A1929" s="1">
        <v>0.76591962962962967</v>
      </c>
      <c r="B1929" s="145" t="s">
        <v>165</v>
      </c>
      <c r="C1929">
        <v>1928</v>
      </c>
      <c r="D1929">
        <v>1</v>
      </c>
      <c r="E1929">
        <v>1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1</v>
      </c>
      <c r="O1929">
        <v>1</v>
      </c>
      <c r="P1929">
        <v>1</v>
      </c>
      <c r="Q1929">
        <v>1</v>
      </c>
      <c r="R1929">
        <v>1</v>
      </c>
      <c r="S1929">
        <v>1</v>
      </c>
    </row>
    <row r="1930" spans="1:19" x14ac:dyDescent="0.25">
      <c r="A1930" s="1">
        <v>0.7659197337962963</v>
      </c>
      <c r="B1930" s="145" t="s">
        <v>165</v>
      </c>
      <c r="C1930">
        <v>1929</v>
      </c>
      <c r="D1930">
        <v>1</v>
      </c>
      <c r="E1930">
        <v>1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1</v>
      </c>
      <c r="O1930">
        <v>1</v>
      </c>
      <c r="P1930">
        <v>1</v>
      </c>
      <c r="Q1930">
        <v>1</v>
      </c>
      <c r="R1930">
        <v>1</v>
      </c>
      <c r="S1930">
        <v>1</v>
      </c>
    </row>
    <row r="1931" spans="1:19" x14ac:dyDescent="0.25">
      <c r="A1931" s="1">
        <v>0.76591984953703707</v>
      </c>
      <c r="B1931" s="145" t="s">
        <v>165</v>
      </c>
      <c r="C1931">
        <v>1930</v>
      </c>
      <c r="D1931">
        <v>1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</row>
    <row r="1932" spans="1:19" x14ac:dyDescent="0.25">
      <c r="A1932" s="1">
        <v>0.76591996527777773</v>
      </c>
      <c r="B1932" s="145" t="s">
        <v>165</v>
      </c>
      <c r="C1932">
        <v>1931</v>
      </c>
      <c r="D1932">
        <v>1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1</v>
      </c>
      <c r="O1932">
        <v>1</v>
      </c>
      <c r="P1932">
        <v>1</v>
      </c>
      <c r="Q1932">
        <v>1</v>
      </c>
      <c r="R1932">
        <v>1</v>
      </c>
      <c r="S1932">
        <v>1</v>
      </c>
    </row>
    <row r="1933" spans="1:19" x14ac:dyDescent="0.25">
      <c r="A1933" s="1">
        <v>0.76592008101851849</v>
      </c>
      <c r="B1933" s="145" t="s">
        <v>2</v>
      </c>
      <c r="C1933">
        <v>1932</v>
      </c>
      <c r="D1933">
        <v>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1</v>
      </c>
      <c r="N1933">
        <v>1</v>
      </c>
      <c r="O1933">
        <v>1</v>
      </c>
      <c r="P1933">
        <v>1</v>
      </c>
      <c r="Q1933">
        <v>1</v>
      </c>
      <c r="R1933">
        <v>1</v>
      </c>
      <c r="S1933">
        <v>1</v>
      </c>
    </row>
    <row r="1934" spans="1:19" x14ac:dyDescent="0.25">
      <c r="A1934" s="1">
        <v>0.76592019675925926</v>
      </c>
      <c r="B1934" s="145" t="s">
        <v>165</v>
      </c>
      <c r="C1934">
        <v>1933</v>
      </c>
      <c r="D1934">
        <v>1</v>
      </c>
      <c r="E1934">
        <v>1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1</v>
      </c>
      <c r="N1934">
        <v>1</v>
      </c>
      <c r="O1934">
        <v>1</v>
      </c>
      <c r="P1934">
        <v>1</v>
      </c>
      <c r="Q1934">
        <v>1</v>
      </c>
      <c r="R1934">
        <v>1</v>
      </c>
      <c r="S1934">
        <v>1</v>
      </c>
    </row>
    <row r="1935" spans="1:19" x14ac:dyDescent="0.25">
      <c r="A1935" s="1">
        <v>0.76592031250000003</v>
      </c>
      <c r="B1935" s="145" t="s">
        <v>165</v>
      </c>
      <c r="C1935">
        <v>1934</v>
      </c>
      <c r="D1935">
        <v>1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1</v>
      </c>
      <c r="N1935">
        <v>1</v>
      </c>
      <c r="O1935">
        <v>1</v>
      </c>
      <c r="P1935">
        <v>1</v>
      </c>
      <c r="Q1935">
        <v>1</v>
      </c>
      <c r="R1935">
        <v>1</v>
      </c>
      <c r="S1935">
        <v>1</v>
      </c>
    </row>
    <row r="1936" spans="1:19" x14ac:dyDescent="0.25">
      <c r="A1936" s="1">
        <v>0.76592042824074069</v>
      </c>
      <c r="B1936" s="145" t="s">
        <v>165</v>
      </c>
      <c r="C1936">
        <v>1935</v>
      </c>
      <c r="D1936">
        <v>1</v>
      </c>
      <c r="E1936">
        <v>1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1</v>
      </c>
      <c r="N1936">
        <v>1</v>
      </c>
      <c r="O1936">
        <v>1</v>
      </c>
      <c r="P1936">
        <v>1</v>
      </c>
      <c r="Q1936">
        <v>1</v>
      </c>
      <c r="R1936">
        <v>1</v>
      </c>
      <c r="S1936">
        <v>1</v>
      </c>
    </row>
    <row r="1937" spans="1:19" x14ac:dyDescent="0.25">
      <c r="A1937" s="1">
        <v>0.76592054398148146</v>
      </c>
      <c r="B1937" s="145" t="s">
        <v>165</v>
      </c>
      <c r="C1937">
        <v>1936</v>
      </c>
      <c r="D1937">
        <v>1</v>
      </c>
      <c r="E1937">
        <v>1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1</v>
      </c>
      <c r="M1937">
        <v>1</v>
      </c>
      <c r="N1937">
        <v>1</v>
      </c>
      <c r="O1937">
        <v>1</v>
      </c>
      <c r="P1937">
        <v>1</v>
      </c>
      <c r="Q1937">
        <v>1</v>
      </c>
      <c r="R1937">
        <v>1</v>
      </c>
      <c r="S1937">
        <v>1</v>
      </c>
    </row>
    <row r="1938" spans="1:19" x14ac:dyDescent="0.25">
      <c r="A1938" s="1">
        <v>0.76592065972222223</v>
      </c>
      <c r="B1938" s="145" t="s">
        <v>165</v>
      </c>
      <c r="C1938">
        <v>1937</v>
      </c>
      <c r="D1938">
        <v>1</v>
      </c>
      <c r="E1938">
        <v>1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1</v>
      </c>
    </row>
    <row r="1939" spans="1:19" x14ac:dyDescent="0.25">
      <c r="A1939" s="1">
        <v>0.765920775462963</v>
      </c>
      <c r="B1939" s="145" t="s">
        <v>2</v>
      </c>
      <c r="C1939">
        <v>1938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1</v>
      </c>
      <c r="O1939">
        <v>1</v>
      </c>
      <c r="P1939">
        <v>1</v>
      </c>
      <c r="Q1939">
        <v>1</v>
      </c>
      <c r="R1939">
        <v>1</v>
      </c>
      <c r="S1939">
        <v>1</v>
      </c>
    </row>
    <row r="1940" spans="1:19" x14ac:dyDescent="0.25">
      <c r="A1940" s="1">
        <v>0.76592089120370366</v>
      </c>
      <c r="B1940" s="145" t="s">
        <v>165</v>
      </c>
      <c r="C1940">
        <v>1939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1</v>
      </c>
      <c r="M1940">
        <v>1</v>
      </c>
      <c r="N1940">
        <v>1</v>
      </c>
      <c r="O1940">
        <v>1</v>
      </c>
      <c r="P1940">
        <v>1</v>
      </c>
      <c r="Q1940">
        <v>1</v>
      </c>
      <c r="R1940">
        <v>1</v>
      </c>
      <c r="S1940">
        <v>1</v>
      </c>
    </row>
    <row r="1941" spans="1:19" x14ac:dyDescent="0.25">
      <c r="A1941" s="1">
        <v>0.76592100694444443</v>
      </c>
      <c r="B1941" s="145" t="s">
        <v>165</v>
      </c>
      <c r="C1941">
        <v>1940</v>
      </c>
      <c r="D1941">
        <v>1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1</v>
      </c>
      <c r="N1941">
        <v>1</v>
      </c>
      <c r="O1941">
        <v>1</v>
      </c>
      <c r="P1941">
        <v>1</v>
      </c>
      <c r="Q1941">
        <v>1</v>
      </c>
      <c r="R1941">
        <v>1</v>
      </c>
      <c r="S1941">
        <v>1</v>
      </c>
    </row>
    <row r="1942" spans="1:19" x14ac:dyDescent="0.25">
      <c r="A1942" s="1">
        <v>0.7659211226851852</v>
      </c>
      <c r="B1942" s="145" t="s">
        <v>165</v>
      </c>
      <c r="C1942">
        <v>1941</v>
      </c>
      <c r="D1942">
        <v>1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1</v>
      </c>
      <c r="N1942">
        <v>1</v>
      </c>
      <c r="O1942">
        <v>1</v>
      </c>
      <c r="P1942">
        <v>1</v>
      </c>
      <c r="Q1942">
        <v>1</v>
      </c>
      <c r="R1942">
        <v>1</v>
      </c>
      <c r="S1942">
        <v>1</v>
      </c>
    </row>
    <row r="1943" spans="1:19" x14ac:dyDescent="0.25">
      <c r="A1943" s="1">
        <v>0.76592123842592597</v>
      </c>
      <c r="B1943" s="145" t="s">
        <v>165</v>
      </c>
      <c r="C1943">
        <v>1942</v>
      </c>
      <c r="D1943">
        <v>1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1</v>
      </c>
      <c r="N1943">
        <v>1</v>
      </c>
      <c r="O1943">
        <v>1</v>
      </c>
      <c r="P1943">
        <v>1</v>
      </c>
      <c r="Q1943">
        <v>1</v>
      </c>
      <c r="R1943">
        <v>1</v>
      </c>
      <c r="S1943">
        <v>1</v>
      </c>
    </row>
    <row r="1944" spans="1:19" x14ac:dyDescent="0.25">
      <c r="A1944" s="1">
        <v>0.76592135416666662</v>
      </c>
      <c r="B1944" s="145" t="s">
        <v>165</v>
      </c>
      <c r="C1944">
        <v>1943</v>
      </c>
      <c r="D1944">
        <v>1</v>
      </c>
      <c r="E1944">
        <v>1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1</v>
      </c>
      <c r="N1944">
        <v>1</v>
      </c>
      <c r="O1944">
        <v>1</v>
      </c>
      <c r="P1944">
        <v>1</v>
      </c>
      <c r="Q1944">
        <v>1</v>
      </c>
      <c r="R1944">
        <v>1</v>
      </c>
      <c r="S1944">
        <v>1</v>
      </c>
    </row>
    <row r="1945" spans="1:19" x14ac:dyDescent="0.25">
      <c r="A1945" s="1">
        <v>0.76592146990740739</v>
      </c>
      <c r="B1945" s="145" t="s">
        <v>2</v>
      </c>
      <c r="C1945">
        <v>1944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1</v>
      </c>
      <c r="N1945">
        <v>1</v>
      </c>
      <c r="O1945">
        <v>1</v>
      </c>
      <c r="P1945">
        <v>1</v>
      </c>
      <c r="Q1945">
        <v>1</v>
      </c>
      <c r="R1945">
        <v>1</v>
      </c>
      <c r="S1945">
        <v>1</v>
      </c>
    </row>
    <row r="1946" spans="1:19" x14ac:dyDescent="0.25">
      <c r="A1946" s="1">
        <v>0.76592158564814816</v>
      </c>
      <c r="B1946" s="145" t="s">
        <v>165</v>
      </c>
      <c r="C1946">
        <v>1945</v>
      </c>
      <c r="D1946">
        <v>1</v>
      </c>
      <c r="E1946">
        <v>1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1</v>
      </c>
      <c r="N1946">
        <v>1</v>
      </c>
      <c r="O1946">
        <v>1</v>
      </c>
      <c r="P1946">
        <v>1</v>
      </c>
      <c r="Q1946">
        <v>1</v>
      </c>
      <c r="R1946">
        <v>1</v>
      </c>
      <c r="S1946">
        <v>1</v>
      </c>
    </row>
    <row r="1947" spans="1:19" x14ac:dyDescent="0.25">
      <c r="A1947" s="1">
        <v>0.76592170138888893</v>
      </c>
      <c r="B1947" s="145" t="s">
        <v>165</v>
      </c>
      <c r="C1947">
        <v>1946</v>
      </c>
      <c r="D1947">
        <v>1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1</v>
      </c>
      <c r="N1947">
        <v>1</v>
      </c>
      <c r="O1947">
        <v>1</v>
      </c>
      <c r="P1947">
        <v>1</v>
      </c>
      <c r="Q1947">
        <v>1</v>
      </c>
      <c r="R1947">
        <v>1</v>
      </c>
      <c r="S1947">
        <v>1</v>
      </c>
    </row>
    <row r="1948" spans="1:19" x14ac:dyDescent="0.25">
      <c r="A1948" s="1">
        <v>0.76592181712962959</v>
      </c>
      <c r="B1948" s="145" t="s">
        <v>165</v>
      </c>
      <c r="C1948">
        <v>1947</v>
      </c>
      <c r="D1948">
        <v>1</v>
      </c>
      <c r="E1948">
        <v>1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1</v>
      </c>
      <c r="N1948">
        <v>1</v>
      </c>
      <c r="O1948">
        <v>1</v>
      </c>
      <c r="P1948">
        <v>1</v>
      </c>
      <c r="Q1948">
        <v>1</v>
      </c>
      <c r="R1948">
        <v>1</v>
      </c>
      <c r="S1948">
        <v>1</v>
      </c>
    </row>
    <row r="1949" spans="1:19" x14ac:dyDescent="0.25">
      <c r="A1949" s="1">
        <v>0.76592193287037036</v>
      </c>
      <c r="B1949" s="145" t="s">
        <v>165</v>
      </c>
      <c r="C1949">
        <v>1948</v>
      </c>
      <c r="D1949">
        <v>1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</v>
      </c>
      <c r="N1949">
        <v>1</v>
      </c>
      <c r="O1949">
        <v>1</v>
      </c>
      <c r="P1949">
        <v>1</v>
      </c>
      <c r="Q1949">
        <v>1</v>
      </c>
      <c r="R1949">
        <v>1</v>
      </c>
      <c r="S1949">
        <v>1</v>
      </c>
    </row>
    <row r="1950" spans="1:19" x14ac:dyDescent="0.25">
      <c r="A1950" s="1">
        <v>0.76592204861111113</v>
      </c>
      <c r="B1950" s="145" t="s">
        <v>165</v>
      </c>
      <c r="C1950">
        <v>1949</v>
      </c>
      <c r="D1950">
        <v>1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1</v>
      </c>
      <c r="N1950">
        <v>1</v>
      </c>
      <c r="O1950">
        <v>1</v>
      </c>
      <c r="P1950">
        <v>1</v>
      </c>
      <c r="Q1950">
        <v>1</v>
      </c>
      <c r="R1950">
        <v>1</v>
      </c>
      <c r="S1950">
        <v>1</v>
      </c>
    </row>
    <row r="1951" spans="1:19" x14ac:dyDescent="0.25">
      <c r="A1951" s="1">
        <v>0.7659221643518519</v>
      </c>
      <c r="B1951" s="145" t="s">
        <v>2</v>
      </c>
      <c r="C1951">
        <v>1950</v>
      </c>
      <c r="D1951">
        <v>0</v>
      </c>
      <c r="E1951">
        <v>1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1</v>
      </c>
      <c r="N1951">
        <v>1</v>
      </c>
      <c r="O1951">
        <v>1</v>
      </c>
      <c r="P1951">
        <v>1</v>
      </c>
      <c r="Q1951">
        <v>1</v>
      </c>
      <c r="R1951">
        <v>1</v>
      </c>
      <c r="S1951">
        <v>1</v>
      </c>
    </row>
    <row r="1952" spans="1:19" x14ac:dyDescent="0.25">
      <c r="A1952" s="1">
        <v>0.76592228009259256</v>
      </c>
      <c r="B1952" s="145" t="s">
        <v>165</v>
      </c>
      <c r="C1952">
        <v>1951</v>
      </c>
      <c r="D1952">
        <v>1</v>
      </c>
      <c r="E1952">
        <v>1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1</v>
      </c>
      <c r="M1952">
        <v>1</v>
      </c>
      <c r="N1952">
        <v>1</v>
      </c>
      <c r="O1952">
        <v>1</v>
      </c>
      <c r="P1952">
        <v>1</v>
      </c>
      <c r="Q1952">
        <v>1</v>
      </c>
      <c r="R1952">
        <v>1</v>
      </c>
      <c r="S1952">
        <v>1</v>
      </c>
    </row>
    <row r="1953" spans="1:19" x14ac:dyDescent="0.25">
      <c r="A1953" s="1">
        <v>0.76592251157407409</v>
      </c>
      <c r="B1953" s="145" t="s">
        <v>165</v>
      </c>
      <c r="C1953">
        <v>1952</v>
      </c>
      <c r="D1953">
        <v>1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</v>
      </c>
      <c r="Q1953">
        <v>1</v>
      </c>
      <c r="R1953">
        <v>1</v>
      </c>
      <c r="S1953">
        <v>1</v>
      </c>
    </row>
    <row r="1954" spans="1:19" x14ac:dyDescent="0.25">
      <c r="A1954" s="1">
        <v>0.76592262731481486</v>
      </c>
      <c r="B1954" s="145" t="s">
        <v>165</v>
      </c>
      <c r="C1954">
        <v>1953</v>
      </c>
      <c r="D1954">
        <v>1</v>
      </c>
      <c r="E1954">
        <v>1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1</v>
      </c>
      <c r="O1954">
        <v>1</v>
      </c>
      <c r="P1954">
        <v>1</v>
      </c>
      <c r="Q1954">
        <v>1</v>
      </c>
      <c r="R1954">
        <v>1</v>
      </c>
      <c r="S1954">
        <v>1</v>
      </c>
    </row>
    <row r="1955" spans="1:19" x14ac:dyDescent="0.25">
      <c r="A1955" s="1">
        <v>0.76592274305555552</v>
      </c>
      <c r="B1955" s="145" t="s">
        <v>165</v>
      </c>
      <c r="C1955">
        <v>1954</v>
      </c>
      <c r="D1955">
        <v>1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1</v>
      </c>
      <c r="N1955">
        <v>1</v>
      </c>
      <c r="O1955">
        <v>1</v>
      </c>
      <c r="P1955">
        <v>1</v>
      </c>
      <c r="Q1955">
        <v>1</v>
      </c>
      <c r="R1955">
        <v>1</v>
      </c>
      <c r="S1955">
        <v>1</v>
      </c>
    </row>
    <row r="1956" spans="1:19" x14ac:dyDescent="0.25">
      <c r="A1956" s="1">
        <v>0.76592285879629629</v>
      </c>
      <c r="B1956" s="145" t="s">
        <v>2</v>
      </c>
      <c r="C1956">
        <v>1955</v>
      </c>
      <c r="D1956">
        <v>0</v>
      </c>
      <c r="E1956">
        <v>1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1</v>
      </c>
      <c r="M1956">
        <v>1</v>
      </c>
      <c r="N1956">
        <v>1</v>
      </c>
      <c r="O1956">
        <v>1</v>
      </c>
      <c r="P1956">
        <v>1</v>
      </c>
      <c r="Q1956">
        <v>1</v>
      </c>
      <c r="R1956">
        <v>1</v>
      </c>
      <c r="S1956">
        <v>1</v>
      </c>
    </row>
    <row r="1957" spans="1:19" x14ac:dyDescent="0.25">
      <c r="A1957" s="1">
        <v>0.76592297453703706</v>
      </c>
      <c r="B1957" s="145" t="s">
        <v>165</v>
      </c>
      <c r="C1957">
        <v>1956</v>
      </c>
      <c r="D1957">
        <v>1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1</v>
      </c>
      <c r="N1957">
        <v>1</v>
      </c>
      <c r="O1957">
        <v>1</v>
      </c>
      <c r="P1957">
        <v>1</v>
      </c>
      <c r="Q1957">
        <v>1</v>
      </c>
      <c r="R1957">
        <v>1</v>
      </c>
      <c r="S1957">
        <v>1</v>
      </c>
    </row>
    <row r="1958" spans="1:19" x14ac:dyDescent="0.25">
      <c r="A1958" s="1">
        <v>0.76592309027777783</v>
      </c>
      <c r="B1958" s="145" t="s">
        <v>165</v>
      </c>
      <c r="C1958">
        <v>1957</v>
      </c>
      <c r="D1958">
        <v>1</v>
      </c>
      <c r="E1958">
        <v>1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1</v>
      </c>
      <c r="N1958">
        <v>1</v>
      </c>
      <c r="O1958">
        <v>1</v>
      </c>
      <c r="P1958">
        <v>1</v>
      </c>
      <c r="Q1958">
        <v>1</v>
      </c>
      <c r="R1958">
        <v>1</v>
      </c>
      <c r="S1958">
        <v>1</v>
      </c>
    </row>
    <row r="1959" spans="1:19" x14ac:dyDescent="0.25">
      <c r="A1959" s="1">
        <v>0.76592320601851849</v>
      </c>
      <c r="B1959" s="145" t="s">
        <v>165</v>
      </c>
      <c r="C1959">
        <v>1958</v>
      </c>
      <c r="D1959">
        <v>1</v>
      </c>
      <c r="E1959">
        <v>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1</v>
      </c>
      <c r="M1959">
        <v>1</v>
      </c>
      <c r="N1959">
        <v>1</v>
      </c>
      <c r="O1959">
        <v>1</v>
      </c>
      <c r="P1959">
        <v>1</v>
      </c>
      <c r="Q1959">
        <v>1</v>
      </c>
      <c r="R1959">
        <v>1</v>
      </c>
      <c r="S1959">
        <v>1</v>
      </c>
    </row>
    <row r="1960" spans="1:19" x14ac:dyDescent="0.25">
      <c r="A1960" s="1">
        <v>0.76592332175925926</v>
      </c>
      <c r="B1960" s="145" t="s">
        <v>165</v>
      </c>
      <c r="C1960">
        <v>1959</v>
      </c>
      <c r="D1960">
        <v>1</v>
      </c>
      <c r="E1960">
        <v>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1</v>
      </c>
      <c r="N1960">
        <v>1</v>
      </c>
      <c r="O1960">
        <v>1</v>
      </c>
      <c r="P1960">
        <v>1</v>
      </c>
      <c r="Q1960">
        <v>1</v>
      </c>
      <c r="R1960">
        <v>1</v>
      </c>
      <c r="S1960">
        <v>1</v>
      </c>
    </row>
    <row r="1961" spans="1:19" x14ac:dyDescent="0.25">
      <c r="A1961" s="1">
        <v>0.76592343750000003</v>
      </c>
      <c r="B1961" s="145" t="s">
        <v>165</v>
      </c>
      <c r="C1961">
        <v>1960</v>
      </c>
      <c r="D1961">
        <v>1</v>
      </c>
      <c r="E1961">
        <v>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</row>
    <row r="1962" spans="1:19" x14ac:dyDescent="0.25">
      <c r="A1962" s="1">
        <v>0.7659235532407408</v>
      </c>
      <c r="B1962" s="145" t="s">
        <v>2</v>
      </c>
      <c r="C1962">
        <v>1961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1</v>
      </c>
      <c r="M1962">
        <v>1</v>
      </c>
      <c r="N1962">
        <v>1</v>
      </c>
      <c r="O1962">
        <v>1</v>
      </c>
      <c r="P1962">
        <v>1</v>
      </c>
      <c r="Q1962">
        <v>1</v>
      </c>
      <c r="R1962">
        <v>1</v>
      </c>
      <c r="S1962">
        <v>1</v>
      </c>
    </row>
    <row r="1963" spans="1:19" x14ac:dyDescent="0.25">
      <c r="A1963" s="1">
        <v>0.76592366898148145</v>
      </c>
      <c r="B1963" s="145" t="s">
        <v>165</v>
      </c>
      <c r="C1963">
        <v>1962</v>
      </c>
      <c r="D1963">
        <v>1</v>
      </c>
      <c r="E1963">
        <v>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1</v>
      </c>
      <c r="M1963">
        <v>1</v>
      </c>
      <c r="N1963">
        <v>1</v>
      </c>
      <c r="O1963">
        <v>1</v>
      </c>
      <c r="P1963">
        <v>1</v>
      </c>
      <c r="Q1963">
        <v>1</v>
      </c>
      <c r="R1963">
        <v>1</v>
      </c>
      <c r="S1963">
        <v>1</v>
      </c>
    </row>
    <row r="1964" spans="1:19" x14ac:dyDescent="0.25">
      <c r="A1964" s="1">
        <v>0.76592378472222222</v>
      </c>
      <c r="B1964" s="145" t="s">
        <v>165</v>
      </c>
      <c r="C1964">
        <v>1963</v>
      </c>
      <c r="D1964">
        <v>1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1</v>
      </c>
      <c r="N1964">
        <v>1</v>
      </c>
      <c r="O1964">
        <v>1</v>
      </c>
      <c r="P1964">
        <v>1</v>
      </c>
      <c r="Q1964">
        <v>1</v>
      </c>
      <c r="R1964">
        <v>1</v>
      </c>
      <c r="S1964">
        <v>1</v>
      </c>
    </row>
    <row r="1965" spans="1:19" x14ac:dyDescent="0.25">
      <c r="A1965" s="1">
        <v>0.76592390046296299</v>
      </c>
      <c r="B1965" s="145" t="s">
        <v>165</v>
      </c>
      <c r="C1965">
        <v>1964</v>
      </c>
      <c r="D1965">
        <v>1</v>
      </c>
      <c r="E1965">
        <v>1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1</v>
      </c>
      <c r="N1965">
        <v>1</v>
      </c>
      <c r="O1965">
        <v>1</v>
      </c>
      <c r="P1965">
        <v>1</v>
      </c>
      <c r="Q1965">
        <v>1</v>
      </c>
      <c r="R1965">
        <v>1</v>
      </c>
      <c r="S1965">
        <v>1</v>
      </c>
    </row>
    <row r="1966" spans="1:19" x14ac:dyDescent="0.25">
      <c r="A1966" s="1">
        <v>0.76592401620370365</v>
      </c>
      <c r="B1966" s="145" t="s">
        <v>165</v>
      </c>
      <c r="C1966">
        <v>1965</v>
      </c>
      <c r="D1966">
        <v>1</v>
      </c>
      <c r="E1966">
        <v>1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1</v>
      </c>
      <c r="N1966">
        <v>1</v>
      </c>
      <c r="O1966">
        <v>1</v>
      </c>
      <c r="P1966">
        <v>1</v>
      </c>
      <c r="Q1966">
        <v>1</v>
      </c>
      <c r="R1966">
        <v>1</v>
      </c>
      <c r="S1966">
        <v>1</v>
      </c>
    </row>
    <row r="1967" spans="1:19" x14ac:dyDescent="0.25">
      <c r="A1967" s="1">
        <v>0.76592413194444442</v>
      </c>
      <c r="B1967" s="145" t="s">
        <v>165</v>
      </c>
      <c r="C1967">
        <v>1966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1</v>
      </c>
      <c r="N1967">
        <v>1</v>
      </c>
      <c r="O1967">
        <v>1</v>
      </c>
      <c r="P1967">
        <v>1</v>
      </c>
      <c r="Q1967">
        <v>1</v>
      </c>
      <c r="R1967">
        <v>1</v>
      </c>
      <c r="S1967">
        <v>1</v>
      </c>
    </row>
    <row r="1968" spans="1:19" x14ac:dyDescent="0.25">
      <c r="A1968" s="1">
        <v>0.76592424768518519</v>
      </c>
      <c r="B1968" s="145" t="s">
        <v>2</v>
      </c>
      <c r="C1968">
        <v>1967</v>
      </c>
      <c r="D1968">
        <v>0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</row>
    <row r="1969" spans="1:19" x14ac:dyDescent="0.25">
      <c r="A1969" s="1">
        <v>0.76592436342592596</v>
      </c>
      <c r="B1969" s="145" t="s">
        <v>165</v>
      </c>
      <c r="C1969">
        <v>1968</v>
      </c>
      <c r="D1969">
        <v>1</v>
      </c>
      <c r="E1969">
        <v>1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1</v>
      </c>
      <c r="O1969">
        <v>1</v>
      </c>
      <c r="P1969">
        <v>1</v>
      </c>
      <c r="Q1969">
        <v>1</v>
      </c>
      <c r="R1969">
        <v>1</v>
      </c>
      <c r="S1969">
        <v>1</v>
      </c>
    </row>
    <row r="1970" spans="1:19" x14ac:dyDescent="0.25">
      <c r="A1970" s="1">
        <v>0.76592447916666662</v>
      </c>
      <c r="B1970" s="145" t="s">
        <v>165</v>
      </c>
      <c r="C1970">
        <v>1969</v>
      </c>
      <c r="D1970">
        <v>1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1</v>
      </c>
      <c r="N1970">
        <v>1</v>
      </c>
      <c r="O1970">
        <v>1</v>
      </c>
      <c r="P1970">
        <v>1</v>
      </c>
      <c r="Q1970">
        <v>1</v>
      </c>
      <c r="R1970">
        <v>1</v>
      </c>
      <c r="S1970">
        <v>1</v>
      </c>
    </row>
    <row r="1971" spans="1:19" x14ac:dyDescent="0.25">
      <c r="A1971" s="1">
        <v>0.76592459490740739</v>
      </c>
      <c r="B1971" s="145" t="s">
        <v>165</v>
      </c>
      <c r="C1971">
        <v>1970</v>
      </c>
      <c r="D1971">
        <v>1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1</v>
      </c>
      <c r="N1971">
        <v>1</v>
      </c>
      <c r="O1971">
        <v>1</v>
      </c>
      <c r="P1971">
        <v>1</v>
      </c>
      <c r="Q1971">
        <v>1</v>
      </c>
      <c r="R1971">
        <v>1</v>
      </c>
      <c r="S1971">
        <v>1</v>
      </c>
    </row>
    <row r="1972" spans="1:19" x14ac:dyDescent="0.25">
      <c r="A1972" s="1">
        <v>0.76592471064814815</v>
      </c>
      <c r="B1972" s="145" t="s">
        <v>165</v>
      </c>
      <c r="C1972">
        <v>1971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1</v>
      </c>
      <c r="N1972">
        <v>1</v>
      </c>
      <c r="O1972">
        <v>1</v>
      </c>
      <c r="P1972">
        <v>1</v>
      </c>
      <c r="Q1972">
        <v>1</v>
      </c>
      <c r="R1972">
        <v>1</v>
      </c>
      <c r="S1972">
        <v>1</v>
      </c>
    </row>
    <row r="1973" spans="1:19" x14ac:dyDescent="0.25">
      <c r="A1973" s="1">
        <v>0.76592482638888892</v>
      </c>
      <c r="B1973" s="145" t="s">
        <v>165</v>
      </c>
      <c r="C1973">
        <v>1972</v>
      </c>
      <c r="D1973">
        <v>1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1</v>
      </c>
      <c r="M1973">
        <v>1</v>
      </c>
      <c r="N1973">
        <v>1</v>
      </c>
      <c r="O1973">
        <v>1</v>
      </c>
      <c r="P1973">
        <v>1</v>
      </c>
      <c r="Q1973">
        <v>1</v>
      </c>
      <c r="R1973">
        <v>1</v>
      </c>
      <c r="S1973">
        <v>1</v>
      </c>
    </row>
    <row r="1974" spans="1:19" x14ac:dyDescent="0.25">
      <c r="A1974" s="1">
        <v>0.76592494212962958</v>
      </c>
      <c r="B1974" s="145" t="s">
        <v>2</v>
      </c>
      <c r="C1974">
        <v>1973</v>
      </c>
      <c r="D1974">
        <v>0</v>
      </c>
      <c r="E1974">
        <v>1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1</v>
      </c>
      <c r="N1974">
        <v>1</v>
      </c>
      <c r="O1974">
        <v>1</v>
      </c>
      <c r="P1974">
        <v>1</v>
      </c>
      <c r="Q1974">
        <v>1</v>
      </c>
      <c r="R1974">
        <v>1</v>
      </c>
      <c r="S1974">
        <v>1</v>
      </c>
    </row>
    <row r="1975" spans="1:19" x14ac:dyDescent="0.25">
      <c r="A1975" s="1">
        <v>0.76592505787037035</v>
      </c>
      <c r="B1975" s="145" t="s">
        <v>165</v>
      </c>
      <c r="C1975">
        <v>1974</v>
      </c>
      <c r="D1975">
        <v>1</v>
      </c>
      <c r="E1975">
        <v>1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1</v>
      </c>
      <c r="S1975">
        <v>1</v>
      </c>
    </row>
    <row r="1976" spans="1:19" x14ac:dyDescent="0.25">
      <c r="A1976" s="1">
        <v>0.76592517361111112</v>
      </c>
      <c r="B1976" s="145" t="s">
        <v>165</v>
      </c>
      <c r="C1976">
        <v>1975</v>
      </c>
      <c r="D1976">
        <v>1</v>
      </c>
      <c r="E1976">
        <v>1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1</v>
      </c>
      <c r="M1976">
        <v>1</v>
      </c>
      <c r="N1976">
        <v>1</v>
      </c>
      <c r="O1976">
        <v>1</v>
      </c>
      <c r="P1976">
        <v>1</v>
      </c>
      <c r="Q1976">
        <v>1</v>
      </c>
      <c r="R1976">
        <v>1</v>
      </c>
      <c r="S1976">
        <v>1</v>
      </c>
    </row>
    <row r="1977" spans="1:19" x14ac:dyDescent="0.25">
      <c r="A1977" s="1">
        <v>0.76592528935185189</v>
      </c>
      <c r="B1977" s="145" t="s">
        <v>165</v>
      </c>
      <c r="C1977">
        <v>1976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1</v>
      </c>
      <c r="M1977">
        <v>1</v>
      </c>
      <c r="N1977">
        <v>1</v>
      </c>
      <c r="O1977">
        <v>1</v>
      </c>
      <c r="P1977">
        <v>1</v>
      </c>
      <c r="Q1977">
        <v>1</v>
      </c>
      <c r="R1977">
        <v>1</v>
      </c>
      <c r="S1977">
        <v>1</v>
      </c>
    </row>
    <row r="1978" spans="1:19" x14ac:dyDescent="0.25">
      <c r="A1978" s="1">
        <v>0.76592540509259255</v>
      </c>
      <c r="B1978" s="145" t="s">
        <v>165</v>
      </c>
      <c r="C1978">
        <v>1977</v>
      </c>
      <c r="D1978">
        <v>1</v>
      </c>
      <c r="E1978">
        <v>1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1</v>
      </c>
      <c r="N1978">
        <v>1</v>
      </c>
      <c r="O1978">
        <v>1</v>
      </c>
      <c r="P1978">
        <v>1</v>
      </c>
      <c r="Q1978">
        <v>1</v>
      </c>
      <c r="R1978">
        <v>1</v>
      </c>
      <c r="S1978">
        <v>1</v>
      </c>
    </row>
    <row r="1979" spans="1:19" x14ac:dyDescent="0.25">
      <c r="A1979" s="1">
        <v>0.76592552083333332</v>
      </c>
      <c r="B1979" s="145" t="s">
        <v>165</v>
      </c>
      <c r="C1979">
        <v>1978</v>
      </c>
      <c r="D1979">
        <v>1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</row>
    <row r="1980" spans="1:19" x14ac:dyDescent="0.25">
      <c r="A1980" s="1">
        <v>0.76592563657407409</v>
      </c>
      <c r="B1980" s="145" t="s">
        <v>2</v>
      </c>
      <c r="C1980">
        <v>1979</v>
      </c>
      <c r="D1980">
        <v>0</v>
      </c>
      <c r="E1980">
        <v>1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1</v>
      </c>
      <c r="M1980">
        <v>1</v>
      </c>
      <c r="N1980">
        <v>1</v>
      </c>
      <c r="O1980">
        <v>1</v>
      </c>
      <c r="P1980">
        <v>1</v>
      </c>
      <c r="Q1980">
        <v>1</v>
      </c>
      <c r="R1980">
        <v>1</v>
      </c>
      <c r="S1980">
        <v>1</v>
      </c>
    </row>
    <row r="1981" spans="1:19" x14ac:dyDescent="0.25">
      <c r="A1981" s="1">
        <v>0.76592575231481486</v>
      </c>
      <c r="B1981" s="145" t="s">
        <v>165</v>
      </c>
      <c r="C1981">
        <v>1980</v>
      </c>
      <c r="D1981">
        <v>1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1</v>
      </c>
      <c r="N1981">
        <v>1</v>
      </c>
      <c r="O1981">
        <v>1</v>
      </c>
      <c r="P1981">
        <v>1</v>
      </c>
      <c r="Q1981">
        <v>1</v>
      </c>
      <c r="R1981">
        <v>1</v>
      </c>
      <c r="S1981">
        <v>1</v>
      </c>
    </row>
    <row r="1982" spans="1:19" x14ac:dyDescent="0.25">
      <c r="A1982" s="1">
        <v>0.76592586805555551</v>
      </c>
      <c r="B1982" s="145" t="s">
        <v>165</v>
      </c>
      <c r="C1982">
        <v>1981</v>
      </c>
      <c r="D1982">
        <v>1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1</v>
      </c>
      <c r="M1982">
        <v>1</v>
      </c>
      <c r="N1982">
        <v>1</v>
      </c>
      <c r="O1982">
        <v>1</v>
      </c>
      <c r="P1982">
        <v>1</v>
      </c>
      <c r="Q1982">
        <v>1</v>
      </c>
      <c r="R1982">
        <v>1</v>
      </c>
      <c r="S1982">
        <v>1</v>
      </c>
    </row>
    <row r="1983" spans="1:19" x14ac:dyDescent="0.25">
      <c r="A1983" s="1">
        <v>0.76592598379629628</v>
      </c>
      <c r="B1983" s="145" t="s">
        <v>165</v>
      </c>
      <c r="C1983">
        <v>1982</v>
      </c>
      <c r="D1983">
        <v>1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1</v>
      </c>
      <c r="N1983">
        <v>1</v>
      </c>
      <c r="O1983">
        <v>1</v>
      </c>
      <c r="P1983">
        <v>1</v>
      </c>
      <c r="Q1983">
        <v>1</v>
      </c>
      <c r="R1983">
        <v>1</v>
      </c>
      <c r="S1983">
        <v>1</v>
      </c>
    </row>
    <row r="1984" spans="1:19" x14ac:dyDescent="0.25">
      <c r="A1984" s="1">
        <v>0.76592609953703705</v>
      </c>
      <c r="B1984" s="145" t="s">
        <v>165</v>
      </c>
      <c r="C1984">
        <v>1983</v>
      </c>
      <c r="D1984">
        <v>1</v>
      </c>
      <c r="E1984">
        <v>1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1</v>
      </c>
      <c r="N1984">
        <v>1</v>
      </c>
      <c r="O1984">
        <v>1</v>
      </c>
      <c r="P1984">
        <v>1</v>
      </c>
      <c r="Q1984">
        <v>1</v>
      </c>
      <c r="R1984">
        <v>1</v>
      </c>
      <c r="S1984">
        <v>1</v>
      </c>
    </row>
    <row r="1985" spans="1:19" x14ac:dyDescent="0.25">
      <c r="A1985" s="1">
        <v>0.76592621527777782</v>
      </c>
      <c r="B1985" s="145" t="s">
        <v>165</v>
      </c>
      <c r="C1985">
        <v>1984</v>
      </c>
      <c r="D1985">
        <v>1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1</v>
      </c>
      <c r="N1985">
        <v>1</v>
      </c>
      <c r="O1985">
        <v>1</v>
      </c>
      <c r="P1985">
        <v>1</v>
      </c>
      <c r="Q1985">
        <v>1</v>
      </c>
      <c r="R1985">
        <v>1</v>
      </c>
      <c r="S1985">
        <v>1</v>
      </c>
    </row>
    <row r="1986" spans="1:19" x14ac:dyDescent="0.25">
      <c r="A1986" s="1">
        <v>0.76592631944444445</v>
      </c>
      <c r="B1986" s="145" t="s">
        <v>2</v>
      </c>
      <c r="C1986">
        <v>1985</v>
      </c>
      <c r="D1986">
        <v>0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1</v>
      </c>
      <c r="N1986">
        <v>1</v>
      </c>
      <c r="O1986">
        <v>1</v>
      </c>
      <c r="P1986">
        <v>1</v>
      </c>
      <c r="Q1986">
        <v>1</v>
      </c>
      <c r="R1986">
        <v>1</v>
      </c>
      <c r="S1986">
        <v>1</v>
      </c>
    </row>
    <row r="1987" spans="1:19" x14ac:dyDescent="0.25">
      <c r="A1987" s="1">
        <v>0.76592643518518522</v>
      </c>
      <c r="B1987" s="145" t="s">
        <v>165</v>
      </c>
      <c r="C1987">
        <v>1986</v>
      </c>
      <c r="D1987">
        <v>1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1</v>
      </c>
      <c r="N1987">
        <v>1</v>
      </c>
      <c r="O1987">
        <v>1</v>
      </c>
      <c r="P1987">
        <v>1</v>
      </c>
      <c r="Q1987">
        <v>1</v>
      </c>
      <c r="R1987">
        <v>1</v>
      </c>
      <c r="S1987">
        <v>1</v>
      </c>
    </row>
    <row r="1988" spans="1:19" x14ac:dyDescent="0.25">
      <c r="A1988" s="1">
        <v>0.76592655092592588</v>
      </c>
      <c r="B1988" s="145" t="s">
        <v>165</v>
      </c>
      <c r="C1988">
        <v>1987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1</v>
      </c>
      <c r="N1988">
        <v>1</v>
      </c>
      <c r="O1988">
        <v>1</v>
      </c>
      <c r="P1988">
        <v>1</v>
      </c>
      <c r="Q1988">
        <v>1</v>
      </c>
      <c r="R1988">
        <v>1</v>
      </c>
      <c r="S1988">
        <v>1</v>
      </c>
    </row>
    <row r="1989" spans="1:19" x14ac:dyDescent="0.25">
      <c r="A1989" s="1">
        <v>0.76592666666666664</v>
      </c>
      <c r="B1989" s="145" t="s">
        <v>165</v>
      </c>
      <c r="C1989">
        <v>1988</v>
      </c>
      <c r="D1989">
        <v>1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1</v>
      </c>
      <c r="M1989">
        <v>1</v>
      </c>
      <c r="N1989">
        <v>1</v>
      </c>
      <c r="O1989">
        <v>1</v>
      </c>
      <c r="P1989">
        <v>1</v>
      </c>
      <c r="Q1989">
        <v>1</v>
      </c>
      <c r="R1989">
        <v>1</v>
      </c>
      <c r="S1989">
        <v>1</v>
      </c>
    </row>
    <row r="1990" spans="1:19" x14ac:dyDescent="0.25">
      <c r="A1990" s="1">
        <v>0.76592678240740741</v>
      </c>
      <c r="B1990" s="145" t="s">
        <v>165</v>
      </c>
      <c r="C1990">
        <v>1989</v>
      </c>
      <c r="D1990">
        <v>1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1</v>
      </c>
      <c r="M1990">
        <v>1</v>
      </c>
      <c r="N1990">
        <v>1</v>
      </c>
      <c r="O1990">
        <v>1</v>
      </c>
      <c r="P1990">
        <v>1</v>
      </c>
      <c r="Q1990">
        <v>1</v>
      </c>
      <c r="R1990">
        <v>1</v>
      </c>
      <c r="S1990">
        <v>1</v>
      </c>
    </row>
    <row r="1991" spans="1:19" x14ac:dyDescent="0.25">
      <c r="A1991" s="1">
        <v>0.76592689814814818</v>
      </c>
      <c r="B1991" s="145" t="s">
        <v>165</v>
      </c>
      <c r="C1991">
        <v>1990</v>
      </c>
      <c r="D1991">
        <v>1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</row>
    <row r="1992" spans="1:19" x14ac:dyDescent="0.25">
      <c r="A1992" s="1">
        <v>0.76592701388888884</v>
      </c>
      <c r="B1992" s="145" t="s">
        <v>2</v>
      </c>
      <c r="C1992">
        <v>1991</v>
      </c>
      <c r="D1992">
        <v>0</v>
      </c>
      <c r="E1992">
        <v>1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1</v>
      </c>
      <c r="M1992">
        <v>1</v>
      </c>
      <c r="N1992">
        <v>1</v>
      </c>
      <c r="O1992">
        <v>1</v>
      </c>
      <c r="P1992">
        <v>1</v>
      </c>
      <c r="Q1992">
        <v>1</v>
      </c>
      <c r="R1992">
        <v>1</v>
      </c>
      <c r="S1992">
        <v>1</v>
      </c>
    </row>
    <row r="1993" spans="1:19" x14ac:dyDescent="0.25">
      <c r="A1993" s="1">
        <v>0.76592712962962961</v>
      </c>
      <c r="B1993" s="145" t="s">
        <v>165</v>
      </c>
      <c r="C1993">
        <v>1992</v>
      </c>
      <c r="D1993">
        <v>1</v>
      </c>
      <c r="E1993">
        <v>1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1</v>
      </c>
      <c r="O1993">
        <v>1</v>
      </c>
      <c r="P1993">
        <v>1</v>
      </c>
      <c r="Q1993">
        <v>1</v>
      </c>
      <c r="R1993">
        <v>1</v>
      </c>
      <c r="S1993">
        <v>1</v>
      </c>
    </row>
    <row r="1994" spans="1:19" x14ac:dyDescent="0.25">
      <c r="A1994" s="1">
        <v>0.76592724537037038</v>
      </c>
      <c r="B1994" s="145" t="s">
        <v>165</v>
      </c>
      <c r="C1994">
        <v>1993</v>
      </c>
      <c r="D1994">
        <v>1</v>
      </c>
      <c r="E1994">
        <v>1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1</v>
      </c>
      <c r="N1994">
        <v>1</v>
      </c>
      <c r="O1994">
        <v>1</v>
      </c>
      <c r="P1994">
        <v>1</v>
      </c>
      <c r="Q1994">
        <v>1</v>
      </c>
      <c r="R1994">
        <v>1</v>
      </c>
      <c r="S1994">
        <v>1</v>
      </c>
    </row>
    <row r="1995" spans="1:19" x14ac:dyDescent="0.25">
      <c r="A1995" s="1">
        <v>0.76592736111111115</v>
      </c>
      <c r="B1995" s="145" t="s">
        <v>165</v>
      </c>
      <c r="C1995">
        <v>1994</v>
      </c>
      <c r="D1995">
        <v>1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1</v>
      </c>
      <c r="M1995">
        <v>1</v>
      </c>
      <c r="N1995">
        <v>1</v>
      </c>
      <c r="O1995">
        <v>1</v>
      </c>
      <c r="P1995">
        <v>1</v>
      </c>
      <c r="Q1995">
        <v>1</v>
      </c>
      <c r="R1995">
        <v>1</v>
      </c>
      <c r="S1995">
        <v>1</v>
      </c>
    </row>
    <row r="1996" spans="1:19" x14ac:dyDescent="0.25">
      <c r="A1996" s="1">
        <v>0.76592747685185181</v>
      </c>
      <c r="B1996" s="145" t="s">
        <v>165</v>
      </c>
      <c r="C1996">
        <v>1995</v>
      </c>
      <c r="D1996">
        <v>1</v>
      </c>
      <c r="E1996">
        <v>1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1</v>
      </c>
      <c r="M1996">
        <v>1</v>
      </c>
      <c r="N1996">
        <v>1</v>
      </c>
      <c r="O1996">
        <v>1</v>
      </c>
      <c r="P1996">
        <v>1</v>
      </c>
      <c r="Q1996">
        <v>1</v>
      </c>
      <c r="R1996">
        <v>1</v>
      </c>
      <c r="S1996">
        <v>1</v>
      </c>
    </row>
    <row r="1997" spans="1:19" x14ac:dyDescent="0.25">
      <c r="A1997" s="1">
        <v>0.76592759259259258</v>
      </c>
      <c r="B1997" s="145" t="s">
        <v>165</v>
      </c>
      <c r="C1997">
        <v>1996</v>
      </c>
      <c r="D1997">
        <v>1</v>
      </c>
      <c r="E1997">
        <v>1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1</v>
      </c>
      <c r="O1997">
        <v>1</v>
      </c>
      <c r="P1997">
        <v>1</v>
      </c>
      <c r="Q1997">
        <v>1</v>
      </c>
      <c r="R1997">
        <v>1</v>
      </c>
      <c r="S1997">
        <v>1</v>
      </c>
    </row>
    <row r="1998" spans="1:19" x14ac:dyDescent="0.25">
      <c r="A1998" s="1">
        <v>0.76592770833333335</v>
      </c>
      <c r="B1998" s="145" t="s">
        <v>2</v>
      </c>
      <c r="C1998">
        <v>1997</v>
      </c>
      <c r="D1998">
        <v>0</v>
      </c>
      <c r="E1998">
        <v>1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1</v>
      </c>
      <c r="N1998">
        <v>1</v>
      </c>
      <c r="O1998">
        <v>1</v>
      </c>
      <c r="P1998">
        <v>1</v>
      </c>
      <c r="Q1998">
        <v>1</v>
      </c>
      <c r="R1998">
        <v>1</v>
      </c>
      <c r="S1998">
        <v>1</v>
      </c>
    </row>
    <row r="1999" spans="1:19" x14ac:dyDescent="0.25">
      <c r="A1999" s="1">
        <v>0.76592782407407412</v>
      </c>
      <c r="B1999" s="145" t="s">
        <v>165</v>
      </c>
      <c r="C1999">
        <v>1998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</row>
    <row r="2000" spans="1:19" x14ac:dyDescent="0.25">
      <c r="A2000" s="1">
        <v>0.76592793981481477</v>
      </c>
      <c r="B2000" s="145" t="s">
        <v>165</v>
      </c>
      <c r="C2000">
        <v>1999</v>
      </c>
      <c r="D2000">
        <v>1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1</v>
      </c>
      <c r="N2000">
        <v>1</v>
      </c>
      <c r="O2000">
        <v>1</v>
      </c>
      <c r="P2000">
        <v>1</v>
      </c>
      <c r="Q2000">
        <v>1</v>
      </c>
      <c r="R2000">
        <v>1</v>
      </c>
      <c r="S2000">
        <v>1</v>
      </c>
    </row>
    <row r="2001" spans="1:19" x14ac:dyDescent="0.25">
      <c r="A2001" s="1">
        <v>0.76592805555555554</v>
      </c>
      <c r="B2001" s="145" t="s">
        <v>165</v>
      </c>
      <c r="C2001">
        <v>2000</v>
      </c>
      <c r="D2001">
        <v>1</v>
      </c>
      <c r="E2001">
        <v>1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</row>
    <row r="2002" spans="1:19" x14ac:dyDescent="0.25">
      <c r="A2002" s="1">
        <v>0.76592817129629631</v>
      </c>
      <c r="B2002" s="145" t="s">
        <v>165</v>
      </c>
      <c r="C2002">
        <v>2001</v>
      </c>
      <c r="D2002">
        <v>1</v>
      </c>
      <c r="E2002">
        <v>1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1</v>
      </c>
      <c r="N2002">
        <v>1</v>
      </c>
      <c r="O2002">
        <v>1</v>
      </c>
      <c r="P2002">
        <v>1</v>
      </c>
      <c r="Q2002">
        <v>1</v>
      </c>
      <c r="R2002">
        <v>1</v>
      </c>
      <c r="S2002">
        <v>1</v>
      </c>
    </row>
    <row r="2003" spans="1:19" x14ac:dyDescent="0.25">
      <c r="A2003" s="1">
        <v>0.76592828703703708</v>
      </c>
      <c r="B2003" s="145" t="s">
        <v>165</v>
      </c>
      <c r="C2003">
        <v>2002</v>
      </c>
      <c r="D2003">
        <v>1</v>
      </c>
      <c r="E2003">
        <v>1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1</v>
      </c>
      <c r="M2003">
        <v>1</v>
      </c>
      <c r="N2003">
        <v>1</v>
      </c>
      <c r="O2003">
        <v>1</v>
      </c>
      <c r="P2003">
        <v>1</v>
      </c>
      <c r="Q2003">
        <v>1</v>
      </c>
      <c r="R2003">
        <v>1</v>
      </c>
      <c r="S2003">
        <v>1</v>
      </c>
    </row>
    <row r="2004" spans="1:19" x14ac:dyDescent="0.25">
      <c r="A2004" s="1">
        <v>0.76592840277777774</v>
      </c>
      <c r="B2004" s="145" t="s">
        <v>2</v>
      </c>
      <c r="C2004">
        <v>2003</v>
      </c>
      <c r="D2004">
        <v>0</v>
      </c>
      <c r="E2004">
        <v>1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1</v>
      </c>
      <c r="N2004">
        <v>1</v>
      </c>
      <c r="O2004">
        <v>1</v>
      </c>
      <c r="P2004">
        <v>1</v>
      </c>
      <c r="Q2004">
        <v>1</v>
      </c>
      <c r="R2004">
        <v>1</v>
      </c>
      <c r="S2004">
        <v>1</v>
      </c>
    </row>
    <row r="2005" spans="1:19" x14ac:dyDescent="0.25">
      <c r="A2005" s="1">
        <v>0.76592851851851851</v>
      </c>
      <c r="B2005" s="145" t="s">
        <v>165</v>
      </c>
      <c r="C2005">
        <v>2004</v>
      </c>
      <c r="D2005">
        <v>1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1</v>
      </c>
      <c r="M2005">
        <v>1</v>
      </c>
      <c r="N2005">
        <v>1</v>
      </c>
      <c r="O2005">
        <v>1</v>
      </c>
      <c r="P2005">
        <v>1</v>
      </c>
      <c r="Q2005">
        <v>1</v>
      </c>
      <c r="R2005">
        <v>1</v>
      </c>
      <c r="S2005">
        <v>1</v>
      </c>
    </row>
    <row r="2006" spans="1:19" x14ac:dyDescent="0.25">
      <c r="A2006" s="1">
        <v>0.76592863425925928</v>
      </c>
      <c r="B2006" s="145" t="s">
        <v>165</v>
      </c>
      <c r="C2006">
        <v>2005</v>
      </c>
      <c r="D2006">
        <v>1</v>
      </c>
      <c r="E2006">
        <v>1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1</v>
      </c>
      <c r="N2006">
        <v>1</v>
      </c>
      <c r="O2006">
        <v>1</v>
      </c>
      <c r="P2006">
        <v>1</v>
      </c>
      <c r="Q2006">
        <v>1</v>
      </c>
      <c r="R2006">
        <v>1</v>
      </c>
      <c r="S2006">
        <v>1</v>
      </c>
    </row>
    <row r="2007" spans="1:19" x14ac:dyDescent="0.25">
      <c r="A2007" s="1">
        <v>0.76592875000000005</v>
      </c>
      <c r="B2007" s="145" t="s">
        <v>165</v>
      </c>
      <c r="C2007">
        <v>2006</v>
      </c>
      <c r="D2007">
        <v>1</v>
      </c>
      <c r="E2007">
        <v>1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1</v>
      </c>
      <c r="R2007">
        <v>1</v>
      </c>
      <c r="S2007">
        <v>1</v>
      </c>
    </row>
    <row r="2008" spans="1:19" x14ac:dyDescent="0.25">
      <c r="A2008" s="1">
        <v>0.76592886574074071</v>
      </c>
      <c r="B2008" s="145" t="s">
        <v>165</v>
      </c>
      <c r="C2008">
        <v>2007</v>
      </c>
      <c r="D2008">
        <v>1</v>
      </c>
      <c r="E2008">
        <v>1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1</v>
      </c>
      <c r="M2008">
        <v>1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</row>
    <row r="2009" spans="1:19" x14ac:dyDescent="0.25">
      <c r="A2009" s="1">
        <v>0.76592898148148147</v>
      </c>
      <c r="B2009" s="145" t="s">
        <v>165</v>
      </c>
      <c r="C2009">
        <v>2008</v>
      </c>
      <c r="D2009">
        <v>1</v>
      </c>
      <c r="E2009">
        <v>1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</row>
    <row r="2010" spans="1:19" x14ac:dyDescent="0.25">
      <c r="A2010" s="1">
        <v>0.76592909722222224</v>
      </c>
      <c r="B2010" s="145" t="s">
        <v>2</v>
      </c>
      <c r="C2010">
        <v>2009</v>
      </c>
      <c r="D2010">
        <v>0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1</v>
      </c>
      <c r="M2010">
        <v>1</v>
      </c>
      <c r="N2010">
        <v>1</v>
      </c>
      <c r="O2010">
        <v>1</v>
      </c>
      <c r="P2010">
        <v>1</v>
      </c>
      <c r="Q2010">
        <v>1</v>
      </c>
      <c r="R2010">
        <v>1</v>
      </c>
      <c r="S2010">
        <v>1</v>
      </c>
    </row>
    <row r="2011" spans="1:19" x14ac:dyDescent="0.25">
      <c r="A2011" s="1">
        <v>0.76592921296296301</v>
      </c>
      <c r="B2011" s="145" t="s">
        <v>165</v>
      </c>
      <c r="C2011">
        <v>2010</v>
      </c>
      <c r="D2011">
        <v>1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1</v>
      </c>
      <c r="N2011">
        <v>1</v>
      </c>
      <c r="O2011">
        <v>1</v>
      </c>
      <c r="P2011">
        <v>1</v>
      </c>
      <c r="Q2011">
        <v>1</v>
      </c>
      <c r="R2011">
        <v>1</v>
      </c>
      <c r="S2011">
        <v>1</v>
      </c>
    </row>
    <row r="2012" spans="1:19" x14ac:dyDescent="0.25">
      <c r="A2012" s="1">
        <v>0.76592932870370367</v>
      </c>
      <c r="B2012" s="145" t="s">
        <v>165</v>
      </c>
      <c r="C2012">
        <v>2011</v>
      </c>
      <c r="D2012">
        <v>1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</row>
    <row r="2013" spans="1:19" x14ac:dyDescent="0.25">
      <c r="A2013" s="1">
        <v>0.76592944444444444</v>
      </c>
      <c r="B2013" s="145" t="s">
        <v>165</v>
      </c>
      <c r="C2013">
        <v>2012</v>
      </c>
      <c r="D2013">
        <v>1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1</v>
      </c>
      <c r="M2013">
        <v>1</v>
      </c>
      <c r="N2013">
        <v>1</v>
      </c>
      <c r="O2013">
        <v>1</v>
      </c>
      <c r="P2013">
        <v>1</v>
      </c>
      <c r="Q2013">
        <v>1</v>
      </c>
      <c r="R2013">
        <v>1</v>
      </c>
      <c r="S2013">
        <v>1</v>
      </c>
    </row>
    <row r="2014" spans="1:19" x14ac:dyDescent="0.25">
      <c r="A2014" s="1">
        <v>0.76592956018518521</v>
      </c>
      <c r="B2014" s="145" t="s">
        <v>165</v>
      </c>
      <c r="C2014">
        <v>2013</v>
      </c>
      <c r="D2014">
        <v>1</v>
      </c>
      <c r="E2014">
        <v>1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</row>
    <row r="2015" spans="1:19" x14ac:dyDescent="0.25">
      <c r="A2015" s="1">
        <v>0.76592967592592598</v>
      </c>
      <c r="B2015" s="145" t="s">
        <v>165</v>
      </c>
      <c r="C2015">
        <v>2014</v>
      </c>
      <c r="D2015">
        <v>1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</row>
    <row r="2016" spans="1:19" x14ac:dyDescent="0.25">
      <c r="A2016" s="1">
        <v>0.76592979166666664</v>
      </c>
      <c r="B2016" s="145" t="s">
        <v>2</v>
      </c>
      <c r="C2016">
        <v>2015</v>
      </c>
      <c r="D2016">
        <v>0</v>
      </c>
      <c r="E2016">
        <v>1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1</v>
      </c>
      <c r="N2016">
        <v>1</v>
      </c>
      <c r="O2016">
        <v>1</v>
      </c>
      <c r="P2016">
        <v>1</v>
      </c>
      <c r="Q2016">
        <v>1</v>
      </c>
      <c r="R2016">
        <v>1</v>
      </c>
      <c r="S2016">
        <v>1</v>
      </c>
    </row>
    <row r="2017" spans="1:19" x14ac:dyDescent="0.25">
      <c r="A2017" s="1">
        <v>0.76592990740740741</v>
      </c>
      <c r="B2017" s="145" t="s">
        <v>165</v>
      </c>
      <c r="C2017">
        <v>2016</v>
      </c>
      <c r="D2017">
        <v>1</v>
      </c>
      <c r="E2017">
        <v>1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1</v>
      </c>
      <c r="M2017">
        <v>1</v>
      </c>
      <c r="N2017">
        <v>1</v>
      </c>
      <c r="O2017">
        <v>1</v>
      </c>
      <c r="P2017">
        <v>1</v>
      </c>
      <c r="Q2017">
        <v>1</v>
      </c>
      <c r="R2017">
        <v>1</v>
      </c>
      <c r="S2017">
        <v>1</v>
      </c>
    </row>
    <row r="2018" spans="1:19" x14ac:dyDescent="0.25">
      <c r="A2018" s="1">
        <v>0.76593002314814818</v>
      </c>
      <c r="B2018" s="145" t="s">
        <v>165</v>
      </c>
      <c r="C2018">
        <v>2017</v>
      </c>
      <c r="D2018">
        <v>1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</row>
    <row r="2019" spans="1:19" x14ac:dyDescent="0.25">
      <c r="A2019" s="1">
        <v>0.76593015046296298</v>
      </c>
      <c r="B2019" s="145" t="s">
        <v>165</v>
      </c>
      <c r="C2019">
        <v>2018</v>
      </c>
      <c r="D2019">
        <v>1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1</v>
      </c>
      <c r="N2019">
        <v>1</v>
      </c>
      <c r="O2019">
        <v>1</v>
      </c>
      <c r="P2019">
        <v>1</v>
      </c>
      <c r="Q2019">
        <v>1</v>
      </c>
      <c r="R2019">
        <v>1</v>
      </c>
      <c r="S2019">
        <v>1</v>
      </c>
    </row>
    <row r="2020" spans="1:19" x14ac:dyDescent="0.25">
      <c r="A2020" s="1">
        <v>0.7659302546296296</v>
      </c>
      <c r="B2020" s="145" t="s">
        <v>165</v>
      </c>
      <c r="C2020">
        <v>2019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1</v>
      </c>
      <c r="M2020">
        <v>1</v>
      </c>
      <c r="N2020">
        <v>1</v>
      </c>
      <c r="O2020">
        <v>1</v>
      </c>
      <c r="P2020">
        <v>1</v>
      </c>
      <c r="Q2020">
        <v>1</v>
      </c>
      <c r="R2020">
        <v>1</v>
      </c>
      <c r="S2020">
        <v>1</v>
      </c>
    </row>
    <row r="2021" spans="1:19" x14ac:dyDescent="0.25">
      <c r="A2021" s="1">
        <v>0.76593037037037037</v>
      </c>
      <c r="B2021" s="145" t="s">
        <v>165</v>
      </c>
      <c r="C2021">
        <v>2020</v>
      </c>
      <c r="D2021">
        <v>1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1</v>
      </c>
      <c r="N2021">
        <v>1</v>
      </c>
      <c r="O2021">
        <v>1</v>
      </c>
      <c r="P2021">
        <v>1</v>
      </c>
      <c r="Q2021">
        <v>1</v>
      </c>
      <c r="R2021">
        <v>1</v>
      </c>
      <c r="S2021">
        <v>1</v>
      </c>
    </row>
    <row r="2022" spans="1:19" x14ac:dyDescent="0.25">
      <c r="A2022" s="1">
        <v>0.76593048611111114</v>
      </c>
      <c r="B2022" s="145" t="s">
        <v>2</v>
      </c>
      <c r="C2022">
        <v>2021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1</v>
      </c>
      <c r="N2022">
        <v>1</v>
      </c>
      <c r="O2022">
        <v>1</v>
      </c>
      <c r="P2022">
        <v>1</v>
      </c>
      <c r="Q2022">
        <v>1</v>
      </c>
      <c r="R2022">
        <v>1</v>
      </c>
      <c r="S2022">
        <v>1</v>
      </c>
    </row>
    <row r="2023" spans="1:19" x14ac:dyDescent="0.25">
      <c r="A2023" s="1">
        <v>0.7659306018518518</v>
      </c>
      <c r="B2023" s="145" t="s">
        <v>165</v>
      </c>
      <c r="C2023">
        <v>2022</v>
      </c>
      <c r="D2023">
        <v>1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1</v>
      </c>
      <c r="N2023">
        <v>1</v>
      </c>
      <c r="O2023">
        <v>1</v>
      </c>
      <c r="P2023">
        <v>1</v>
      </c>
      <c r="Q2023">
        <v>1</v>
      </c>
      <c r="R2023">
        <v>1</v>
      </c>
      <c r="S2023">
        <v>1</v>
      </c>
    </row>
    <row r="2024" spans="1:19" x14ac:dyDescent="0.25">
      <c r="A2024" s="1">
        <v>0.76593071759259257</v>
      </c>
      <c r="B2024" s="145" t="s">
        <v>165</v>
      </c>
      <c r="C2024">
        <v>2023</v>
      </c>
      <c r="D2024">
        <v>1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1</v>
      </c>
      <c r="N2024">
        <v>1</v>
      </c>
      <c r="O2024">
        <v>1</v>
      </c>
      <c r="P2024">
        <v>1</v>
      </c>
      <c r="Q2024">
        <v>1</v>
      </c>
      <c r="R2024">
        <v>1</v>
      </c>
      <c r="S2024">
        <v>1</v>
      </c>
    </row>
    <row r="2025" spans="1:19" x14ac:dyDescent="0.25">
      <c r="A2025" s="1">
        <v>0.76593083333333334</v>
      </c>
      <c r="B2025" s="145" t="s">
        <v>165</v>
      </c>
      <c r="C2025">
        <v>2024</v>
      </c>
      <c r="D2025">
        <v>1</v>
      </c>
      <c r="E2025">
        <v>1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1</v>
      </c>
      <c r="O2025">
        <v>1</v>
      </c>
      <c r="P2025">
        <v>1</v>
      </c>
      <c r="Q2025">
        <v>1</v>
      </c>
      <c r="R2025">
        <v>1</v>
      </c>
      <c r="S2025">
        <v>1</v>
      </c>
    </row>
    <row r="2026" spans="1:19" x14ac:dyDescent="0.25">
      <c r="A2026" s="1">
        <v>0.76593094907407411</v>
      </c>
      <c r="B2026" s="145" t="s">
        <v>165</v>
      </c>
      <c r="C2026">
        <v>2025</v>
      </c>
      <c r="D2026">
        <v>1</v>
      </c>
      <c r="E2026">
        <v>1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1</v>
      </c>
      <c r="M2026">
        <v>1</v>
      </c>
      <c r="N2026">
        <v>1</v>
      </c>
      <c r="O2026">
        <v>1</v>
      </c>
      <c r="P2026">
        <v>1</v>
      </c>
      <c r="Q2026">
        <v>1</v>
      </c>
      <c r="R2026">
        <v>1</v>
      </c>
      <c r="S2026">
        <v>1</v>
      </c>
    </row>
    <row r="2027" spans="1:19" x14ac:dyDescent="0.25">
      <c r="A2027" s="1">
        <v>0.76593106481481477</v>
      </c>
      <c r="B2027" s="145" t="s">
        <v>165</v>
      </c>
      <c r="C2027">
        <v>2026</v>
      </c>
      <c r="D2027">
        <v>1</v>
      </c>
      <c r="E2027">
        <v>1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1</v>
      </c>
      <c r="O2027">
        <v>1</v>
      </c>
      <c r="P2027">
        <v>1</v>
      </c>
      <c r="Q2027">
        <v>1</v>
      </c>
      <c r="R2027">
        <v>1</v>
      </c>
      <c r="S2027">
        <v>1</v>
      </c>
    </row>
    <row r="2028" spans="1:19" x14ac:dyDescent="0.25">
      <c r="A2028" s="1">
        <v>0.76593118055555554</v>
      </c>
      <c r="B2028" s="145" t="s">
        <v>2</v>
      </c>
      <c r="C2028">
        <v>2027</v>
      </c>
      <c r="D2028">
        <v>0</v>
      </c>
      <c r="E2028">
        <v>1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1</v>
      </c>
      <c r="N2028">
        <v>1</v>
      </c>
      <c r="O2028">
        <v>1</v>
      </c>
      <c r="P2028">
        <v>1</v>
      </c>
      <c r="Q2028">
        <v>1</v>
      </c>
      <c r="R2028">
        <v>1</v>
      </c>
      <c r="S2028">
        <v>1</v>
      </c>
    </row>
    <row r="2029" spans="1:19" x14ac:dyDescent="0.25">
      <c r="A2029" s="1">
        <v>0.7659312962962963</v>
      </c>
      <c r="B2029" s="145" t="s">
        <v>165</v>
      </c>
      <c r="C2029">
        <v>2028</v>
      </c>
      <c r="D2029">
        <v>1</v>
      </c>
      <c r="E2029">
        <v>1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1</v>
      </c>
      <c r="N2029">
        <v>1</v>
      </c>
      <c r="O2029">
        <v>1</v>
      </c>
      <c r="P2029">
        <v>1</v>
      </c>
      <c r="Q2029">
        <v>1</v>
      </c>
      <c r="R2029">
        <v>1</v>
      </c>
      <c r="S2029">
        <v>1</v>
      </c>
    </row>
    <row r="2030" spans="1:19" x14ac:dyDescent="0.25">
      <c r="A2030" s="1">
        <v>0.76593141203703707</v>
      </c>
      <c r="B2030" s="145" t="s">
        <v>165</v>
      </c>
      <c r="C2030">
        <v>2029</v>
      </c>
      <c r="D2030">
        <v>1</v>
      </c>
      <c r="E2030">
        <v>1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</row>
    <row r="2031" spans="1:19" x14ac:dyDescent="0.25">
      <c r="A2031" s="1">
        <v>0.76593152777777773</v>
      </c>
      <c r="B2031" s="145" t="s">
        <v>165</v>
      </c>
      <c r="C2031">
        <v>2030</v>
      </c>
      <c r="D2031">
        <v>1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1</v>
      </c>
      <c r="N2031">
        <v>1</v>
      </c>
      <c r="O2031">
        <v>1</v>
      </c>
      <c r="P2031">
        <v>1</v>
      </c>
      <c r="Q2031">
        <v>1</v>
      </c>
      <c r="R2031">
        <v>1</v>
      </c>
      <c r="S2031">
        <v>1</v>
      </c>
    </row>
    <row r="2032" spans="1:19" x14ac:dyDescent="0.25">
      <c r="A2032" s="1">
        <v>0.7659316435185185</v>
      </c>
      <c r="B2032" s="145" t="s">
        <v>165</v>
      </c>
      <c r="C2032">
        <v>2031</v>
      </c>
      <c r="D2032">
        <v>1</v>
      </c>
      <c r="E2032">
        <v>1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1</v>
      </c>
      <c r="M2032">
        <v>1</v>
      </c>
      <c r="N2032">
        <v>1</v>
      </c>
      <c r="O2032">
        <v>1</v>
      </c>
      <c r="P2032">
        <v>1</v>
      </c>
      <c r="Q2032">
        <v>1</v>
      </c>
      <c r="R2032">
        <v>1</v>
      </c>
      <c r="S2032">
        <v>1</v>
      </c>
    </row>
    <row r="2033" spans="1:19" x14ac:dyDescent="0.25">
      <c r="A2033" s="1">
        <v>0.76593175925925927</v>
      </c>
      <c r="B2033" s="145" t="s">
        <v>165</v>
      </c>
      <c r="C2033">
        <v>2032</v>
      </c>
      <c r="D2033">
        <v>1</v>
      </c>
      <c r="E2033">
        <v>1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1</v>
      </c>
      <c r="M2033">
        <v>1</v>
      </c>
      <c r="N2033">
        <v>1</v>
      </c>
      <c r="O2033">
        <v>1</v>
      </c>
      <c r="P2033">
        <v>1</v>
      </c>
      <c r="Q2033">
        <v>1</v>
      </c>
      <c r="R2033">
        <v>1</v>
      </c>
      <c r="S2033">
        <v>1</v>
      </c>
    </row>
    <row r="2034" spans="1:19" x14ac:dyDescent="0.25">
      <c r="A2034" s="1">
        <v>0.76593187500000004</v>
      </c>
      <c r="B2034" s="145" t="s">
        <v>2</v>
      </c>
      <c r="C2034">
        <v>2033</v>
      </c>
      <c r="D2034">
        <v>0</v>
      </c>
      <c r="E2034">
        <v>1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1</v>
      </c>
      <c r="N2034">
        <v>1</v>
      </c>
      <c r="O2034">
        <v>1</v>
      </c>
      <c r="P2034">
        <v>1</v>
      </c>
      <c r="Q2034">
        <v>1</v>
      </c>
      <c r="R2034">
        <v>1</v>
      </c>
      <c r="S2034">
        <v>1</v>
      </c>
    </row>
    <row r="2035" spans="1:19" x14ac:dyDescent="0.25">
      <c r="A2035" s="1">
        <v>0.7659319907407407</v>
      </c>
      <c r="B2035" s="145" t="s">
        <v>165</v>
      </c>
      <c r="C2035">
        <v>2034</v>
      </c>
      <c r="D2035">
        <v>1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1</v>
      </c>
      <c r="M2035">
        <v>1</v>
      </c>
      <c r="N2035">
        <v>1</v>
      </c>
      <c r="O2035">
        <v>1</v>
      </c>
      <c r="P2035">
        <v>1</v>
      </c>
      <c r="Q2035">
        <v>1</v>
      </c>
      <c r="R2035">
        <v>1</v>
      </c>
      <c r="S2035">
        <v>1</v>
      </c>
    </row>
    <row r="2036" spans="1:19" x14ac:dyDescent="0.25">
      <c r="A2036" s="1">
        <v>0.76593210648148147</v>
      </c>
      <c r="B2036" s="145" t="s">
        <v>165</v>
      </c>
      <c r="C2036">
        <v>2035</v>
      </c>
      <c r="D2036">
        <v>1</v>
      </c>
      <c r="E2036">
        <v>1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1</v>
      </c>
      <c r="M2036">
        <v>1</v>
      </c>
      <c r="N2036">
        <v>1</v>
      </c>
      <c r="O2036">
        <v>1</v>
      </c>
      <c r="P2036">
        <v>1</v>
      </c>
      <c r="Q2036">
        <v>1</v>
      </c>
      <c r="R2036">
        <v>1</v>
      </c>
      <c r="S2036">
        <v>1</v>
      </c>
    </row>
    <row r="2037" spans="1:19" x14ac:dyDescent="0.25">
      <c r="A2037" s="1">
        <v>0.76593222222222224</v>
      </c>
      <c r="B2037" s="145" t="s">
        <v>165</v>
      </c>
      <c r="C2037">
        <v>2036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1</v>
      </c>
      <c r="N2037">
        <v>1</v>
      </c>
      <c r="O2037">
        <v>1</v>
      </c>
      <c r="P2037">
        <v>1</v>
      </c>
      <c r="Q2037">
        <v>1</v>
      </c>
      <c r="R2037">
        <v>1</v>
      </c>
      <c r="S2037">
        <v>1</v>
      </c>
    </row>
    <row r="2038" spans="1:19" x14ac:dyDescent="0.25">
      <c r="A2038" s="1">
        <v>0.76593233796296301</v>
      </c>
      <c r="B2038" s="145" t="s">
        <v>165</v>
      </c>
      <c r="C2038">
        <v>2037</v>
      </c>
      <c r="D2038">
        <v>1</v>
      </c>
      <c r="E2038">
        <v>1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1</v>
      </c>
      <c r="M2038">
        <v>1</v>
      </c>
      <c r="N2038">
        <v>1</v>
      </c>
      <c r="O2038">
        <v>1</v>
      </c>
      <c r="P2038">
        <v>1</v>
      </c>
      <c r="Q2038">
        <v>1</v>
      </c>
      <c r="R2038">
        <v>1</v>
      </c>
      <c r="S2038">
        <v>1</v>
      </c>
    </row>
    <row r="2039" spans="1:19" x14ac:dyDescent="0.25">
      <c r="A2039" s="1">
        <v>0.76593245370370366</v>
      </c>
      <c r="B2039" s="145" t="s">
        <v>165</v>
      </c>
      <c r="C2039">
        <v>2038</v>
      </c>
      <c r="D2039">
        <v>1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1</v>
      </c>
      <c r="N2039">
        <v>1</v>
      </c>
      <c r="O2039">
        <v>1</v>
      </c>
      <c r="P2039">
        <v>1</v>
      </c>
      <c r="Q2039">
        <v>1</v>
      </c>
      <c r="R2039">
        <v>1</v>
      </c>
      <c r="S2039">
        <v>1</v>
      </c>
    </row>
    <row r="2040" spans="1:19" x14ac:dyDescent="0.25">
      <c r="A2040" s="1">
        <v>0.76593256944444443</v>
      </c>
      <c r="B2040" s="145" t="s">
        <v>2</v>
      </c>
      <c r="C2040">
        <v>2039</v>
      </c>
      <c r="D2040">
        <v>0</v>
      </c>
      <c r="E2040">
        <v>1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1</v>
      </c>
      <c r="N2040">
        <v>1</v>
      </c>
      <c r="O2040">
        <v>1</v>
      </c>
      <c r="P2040">
        <v>1</v>
      </c>
      <c r="Q2040">
        <v>1</v>
      </c>
      <c r="R2040">
        <v>1</v>
      </c>
      <c r="S2040">
        <v>1</v>
      </c>
    </row>
    <row r="2041" spans="1:19" x14ac:dyDescent="0.25">
      <c r="A2041" s="1">
        <v>0.7659326851851852</v>
      </c>
      <c r="B2041" s="145" t="s">
        <v>165</v>
      </c>
      <c r="C2041">
        <v>2040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1</v>
      </c>
      <c r="N2041">
        <v>1</v>
      </c>
      <c r="O2041">
        <v>1</v>
      </c>
      <c r="P2041">
        <v>1</v>
      </c>
      <c r="Q2041">
        <v>1</v>
      </c>
      <c r="R2041">
        <v>1</v>
      </c>
      <c r="S2041">
        <v>1</v>
      </c>
    </row>
    <row r="2042" spans="1:19" x14ac:dyDescent="0.25">
      <c r="A2042" s="1">
        <v>0.76593280092592597</v>
      </c>
      <c r="B2042" s="145" t="s">
        <v>165</v>
      </c>
      <c r="C2042">
        <v>2041</v>
      </c>
      <c r="D2042">
        <v>1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1</v>
      </c>
      <c r="M2042">
        <v>1</v>
      </c>
      <c r="N2042">
        <v>1</v>
      </c>
      <c r="O2042">
        <v>1</v>
      </c>
      <c r="P2042">
        <v>1</v>
      </c>
      <c r="Q2042">
        <v>1</v>
      </c>
      <c r="R2042">
        <v>1</v>
      </c>
      <c r="S2042">
        <v>1</v>
      </c>
    </row>
    <row r="2043" spans="1:19" x14ac:dyDescent="0.25">
      <c r="A2043" s="1">
        <v>0.76593291666666663</v>
      </c>
      <c r="B2043" s="145" t="s">
        <v>165</v>
      </c>
      <c r="C2043">
        <v>2042</v>
      </c>
      <c r="D2043">
        <v>1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1</v>
      </c>
      <c r="N2043">
        <v>1</v>
      </c>
      <c r="O2043">
        <v>1</v>
      </c>
      <c r="P2043">
        <v>1</v>
      </c>
      <c r="Q2043">
        <v>1</v>
      </c>
      <c r="R2043">
        <v>1</v>
      </c>
      <c r="S2043">
        <v>1</v>
      </c>
    </row>
    <row r="2044" spans="1:19" x14ac:dyDescent="0.25">
      <c r="A2044" s="1">
        <v>0.7659330324074074</v>
      </c>
      <c r="B2044" s="145" t="s">
        <v>165</v>
      </c>
      <c r="C2044">
        <v>2043</v>
      </c>
      <c r="D2044">
        <v>1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1</v>
      </c>
      <c r="M2044">
        <v>1</v>
      </c>
      <c r="N2044">
        <v>1</v>
      </c>
      <c r="O2044">
        <v>1</v>
      </c>
      <c r="P2044">
        <v>1</v>
      </c>
      <c r="Q2044">
        <v>1</v>
      </c>
      <c r="R2044">
        <v>1</v>
      </c>
      <c r="S2044">
        <v>1</v>
      </c>
    </row>
    <row r="2045" spans="1:19" x14ac:dyDescent="0.25">
      <c r="A2045" s="1">
        <v>0.76593314814814817</v>
      </c>
      <c r="B2045" s="145" t="s">
        <v>165</v>
      </c>
      <c r="C2045">
        <v>2044</v>
      </c>
      <c r="D2045">
        <v>1</v>
      </c>
      <c r="E2045">
        <v>1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1</v>
      </c>
      <c r="N2045">
        <v>1</v>
      </c>
      <c r="O2045">
        <v>1</v>
      </c>
      <c r="P2045">
        <v>1</v>
      </c>
      <c r="Q2045">
        <v>1</v>
      </c>
      <c r="R2045">
        <v>1</v>
      </c>
      <c r="S2045">
        <v>1</v>
      </c>
    </row>
    <row r="2046" spans="1:19" x14ac:dyDescent="0.25">
      <c r="A2046" s="1">
        <v>0.76593325231481479</v>
      </c>
      <c r="B2046" s="145" t="s">
        <v>2</v>
      </c>
      <c r="C2046">
        <v>2045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1</v>
      </c>
      <c r="N2046">
        <v>1</v>
      </c>
      <c r="O2046">
        <v>1</v>
      </c>
      <c r="P2046">
        <v>1</v>
      </c>
      <c r="Q2046">
        <v>1</v>
      </c>
      <c r="R2046">
        <v>1</v>
      </c>
      <c r="S2046">
        <v>1</v>
      </c>
    </row>
    <row r="2047" spans="1:19" x14ac:dyDescent="0.25">
      <c r="A2047" s="1">
        <v>0.76593336805555556</v>
      </c>
      <c r="B2047" s="145" t="s">
        <v>165</v>
      </c>
      <c r="C2047">
        <v>2046</v>
      </c>
      <c r="D2047">
        <v>1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1</v>
      </c>
      <c r="N2047">
        <v>1</v>
      </c>
      <c r="O2047">
        <v>1</v>
      </c>
      <c r="P2047">
        <v>1</v>
      </c>
      <c r="Q2047">
        <v>1</v>
      </c>
      <c r="R2047">
        <v>1</v>
      </c>
      <c r="S2047">
        <v>1</v>
      </c>
    </row>
    <row r="2048" spans="1:19" x14ac:dyDescent="0.25">
      <c r="A2048" s="1">
        <v>0.76593348379629633</v>
      </c>
      <c r="B2048" s="145" t="s">
        <v>165</v>
      </c>
      <c r="C2048">
        <v>2047</v>
      </c>
      <c r="D2048">
        <v>1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1</v>
      </c>
      <c r="N2048">
        <v>1</v>
      </c>
      <c r="O2048">
        <v>1</v>
      </c>
      <c r="P2048">
        <v>1</v>
      </c>
      <c r="Q2048">
        <v>1</v>
      </c>
      <c r="R2048">
        <v>1</v>
      </c>
      <c r="S2048">
        <v>1</v>
      </c>
    </row>
    <row r="2049" spans="1:19" x14ac:dyDescent="0.25">
      <c r="A2049" s="1">
        <v>0.76593359953703699</v>
      </c>
      <c r="B2049" s="145" t="s">
        <v>165</v>
      </c>
      <c r="C2049">
        <v>2048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1</v>
      </c>
      <c r="N2049">
        <v>1</v>
      </c>
      <c r="O2049">
        <v>1</v>
      </c>
      <c r="P2049">
        <v>1</v>
      </c>
      <c r="Q2049">
        <v>1</v>
      </c>
      <c r="R2049">
        <v>1</v>
      </c>
      <c r="S2049">
        <v>1</v>
      </c>
    </row>
    <row r="2050" spans="1:19" x14ac:dyDescent="0.25">
      <c r="A2050" s="1">
        <v>0.76593371527777776</v>
      </c>
      <c r="B2050" s="145" t="s">
        <v>165</v>
      </c>
      <c r="C2050">
        <v>2049</v>
      </c>
      <c r="D2050">
        <v>1</v>
      </c>
      <c r="E2050">
        <v>1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1</v>
      </c>
      <c r="N2050">
        <v>1</v>
      </c>
      <c r="O2050">
        <v>1</v>
      </c>
      <c r="P2050">
        <v>1</v>
      </c>
      <c r="Q2050">
        <v>1</v>
      </c>
      <c r="R2050">
        <v>1</v>
      </c>
      <c r="S2050">
        <v>1</v>
      </c>
    </row>
    <row r="2051" spans="1:19" x14ac:dyDescent="0.25">
      <c r="A2051" s="1">
        <v>0.76593383101851853</v>
      </c>
      <c r="B2051" s="145" t="s">
        <v>165</v>
      </c>
      <c r="C2051">
        <v>2050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1</v>
      </c>
      <c r="N2051">
        <v>1</v>
      </c>
      <c r="O2051">
        <v>1</v>
      </c>
      <c r="P2051">
        <v>1</v>
      </c>
      <c r="Q2051">
        <v>1</v>
      </c>
      <c r="R2051">
        <v>1</v>
      </c>
      <c r="S2051">
        <v>1</v>
      </c>
    </row>
    <row r="2052" spans="1:19" x14ac:dyDescent="0.25">
      <c r="A2052" s="1">
        <v>0.76593406249999996</v>
      </c>
      <c r="B2052" s="145" t="s">
        <v>165</v>
      </c>
      <c r="C2052">
        <v>2051</v>
      </c>
      <c r="D2052">
        <v>1</v>
      </c>
      <c r="E2052">
        <v>1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1</v>
      </c>
      <c r="N2052">
        <v>1</v>
      </c>
      <c r="O2052">
        <v>1</v>
      </c>
      <c r="P2052">
        <v>1</v>
      </c>
      <c r="Q2052">
        <v>1</v>
      </c>
      <c r="R2052">
        <v>1</v>
      </c>
      <c r="S2052">
        <v>1</v>
      </c>
    </row>
    <row r="2053" spans="1:19" x14ac:dyDescent="0.25">
      <c r="A2053" s="1">
        <v>0.76593417824074073</v>
      </c>
      <c r="B2053" s="145" t="s">
        <v>165</v>
      </c>
      <c r="C2053">
        <v>2052</v>
      </c>
      <c r="D2053">
        <v>1</v>
      </c>
      <c r="E2053">
        <v>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1</v>
      </c>
      <c r="O2053">
        <v>1</v>
      </c>
      <c r="P2053">
        <v>1</v>
      </c>
      <c r="Q2053">
        <v>1</v>
      </c>
      <c r="R2053">
        <v>1</v>
      </c>
      <c r="S2053">
        <v>1</v>
      </c>
    </row>
    <row r="2054" spans="1:19" x14ac:dyDescent="0.25">
      <c r="A2054" s="1">
        <v>0.7659342939814815</v>
      </c>
      <c r="B2054" s="145" t="s">
        <v>165</v>
      </c>
      <c r="C2054">
        <v>2053</v>
      </c>
      <c r="D2054">
        <v>1</v>
      </c>
      <c r="E2054">
        <v>1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1</v>
      </c>
      <c r="O2054">
        <v>1</v>
      </c>
      <c r="P2054">
        <v>1</v>
      </c>
      <c r="Q2054">
        <v>1</v>
      </c>
      <c r="R2054">
        <v>1</v>
      </c>
      <c r="S2054">
        <v>1</v>
      </c>
    </row>
    <row r="2055" spans="1:19" x14ac:dyDescent="0.25">
      <c r="A2055" s="1">
        <v>0.76593440972222226</v>
      </c>
      <c r="B2055" s="145" t="s">
        <v>165</v>
      </c>
      <c r="C2055">
        <v>2054</v>
      </c>
      <c r="D2055">
        <v>1</v>
      </c>
      <c r="E2055">
        <v>1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1</v>
      </c>
      <c r="N2055">
        <v>1</v>
      </c>
      <c r="O2055">
        <v>1</v>
      </c>
      <c r="P2055">
        <v>1</v>
      </c>
      <c r="Q2055">
        <v>1</v>
      </c>
      <c r="R2055">
        <v>1</v>
      </c>
      <c r="S2055">
        <v>1</v>
      </c>
    </row>
    <row r="2056" spans="1:19" x14ac:dyDescent="0.25">
      <c r="A2056" s="1">
        <v>0.76593452546296292</v>
      </c>
      <c r="B2056" s="145" t="s">
        <v>165</v>
      </c>
      <c r="C2056">
        <v>2055</v>
      </c>
      <c r="D2056">
        <v>1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1</v>
      </c>
      <c r="M2056">
        <v>1</v>
      </c>
      <c r="N2056">
        <v>1</v>
      </c>
      <c r="O2056">
        <v>1</v>
      </c>
      <c r="P2056">
        <v>1</v>
      </c>
      <c r="Q2056">
        <v>1</v>
      </c>
      <c r="R2056">
        <v>1</v>
      </c>
      <c r="S2056">
        <v>1</v>
      </c>
    </row>
    <row r="2057" spans="1:19" x14ac:dyDescent="0.25">
      <c r="A2057" s="1">
        <v>0.76593464120370369</v>
      </c>
      <c r="B2057" s="145" t="s">
        <v>2</v>
      </c>
      <c r="C2057">
        <v>2056</v>
      </c>
      <c r="D2057">
        <v>0</v>
      </c>
      <c r="E2057">
        <v>1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1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</row>
    <row r="2058" spans="1:19" x14ac:dyDescent="0.25">
      <c r="A2058" s="1">
        <v>0.76593475694444446</v>
      </c>
      <c r="B2058" s="145" t="s">
        <v>165</v>
      </c>
      <c r="C2058">
        <v>2057</v>
      </c>
      <c r="D2058">
        <v>1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1</v>
      </c>
      <c r="N2058">
        <v>1</v>
      </c>
      <c r="O2058">
        <v>1</v>
      </c>
      <c r="P2058">
        <v>1</v>
      </c>
      <c r="Q2058">
        <v>1</v>
      </c>
      <c r="R2058">
        <v>1</v>
      </c>
      <c r="S2058">
        <v>1</v>
      </c>
    </row>
    <row r="2059" spans="1:19" x14ac:dyDescent="0.25">
      <c r="A2059" s="1">
        <v>0.76593487268518523</v>
      </c>
      <c r="B2059" s="145" t="s">
        <v>165</v>
      </c>
      <c r="C2059">
        <v>2058</v>
      </c>
      <c r="D2059">
        <v>1</v>
      </c>
      <c r="E2059">
        <v>1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1</v>
      </c>
      <c r="M2059">
        <v>1</v>
      </c>
      <c r="N2059">
        <v>1</v>
      </c>
      <c r="O2059">
        <v>1</v>
      </c>
      <c r="P2059">
        <v>1</v>
      </c>
      <c r="Q2059">
        <v>1</v>
      </c>
      <c r="R2059">
        <v>1</v>
      </c>
      <c r="S2059">
        <v>1</v>
      </c>
    </row>
    <row r="2060" spans="1:19" x14ac:dyDescent="0.25">
      <c r="A2060" s="1">
        <v>0.76593498842592589</v>
      </c>
      <c r="B2060" s="145" t="s">
        <v>165</v>
      </c>
      <c r="C2060">
        <v>2059</v>
      </c>
      <c r="D2060">
        <v>1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</v>
      </c>
      <c r="N2060">
        <v>1</v>
      </c>
      <c r="O2060">
        <v>1</v>
      </c>
      <c r="P2060">
        <v>1</v>
      </c>
      <c r="Q2060">
        <v>1</v>
      </c>
      <c r="R2060">
        <v>1</v>
      </c>
      <c r="S2060">
        <v>1</v>
      </c>
    </row>
    <row r="2061" spans="1:19" x14ac:dyDescent="0.25">
      <c r="A2061" s="1">
        <v>0.76593510416666666</v>
      </c>
      <c r="B2061" s="145" t="s">
        <v>165</v>
      </c>
      <c r="C2061">
        <v>2060</v>
      </c>
      <c r="D2061">
        <v>1</v>
      </c>
      <c r="E2061">
        <v>1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1</v>
      </c>
      <c r="M2061">
        <v>1</v>
      </c>
      <c r="N2061">
        <v>1</v>
      </c>
      <c r="O2061">
        <v>1</v>
      </c>
      <c r="P2061">
        <v>1</v>
      </c>
      <c r="Q2061">
        <v>1</v>
      </c>
      <c r="R2061">
        <v>1</v>
      </c>
      <c r="S2061">
        <v>1</v>
      </c>
    </row>
    <row r="2062" spans="1:19" x14ac:dyDescent="0.25">
      <c r="A2062" s="1">
        <v>0.76593521990740743</v>
      </c>
      <c r="B2062" s="145" t="s">
        <v>165</v>
      </c>
      <c r="C2062">
        <v>2061</v>
      </c>
      <c r="D2062">
        <v>1</v>
      </c>
      <c r="E2062">
        <v>1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1</v>
      </c>
      <c r="M2062">
        <v>1</v>
      </c>
      <c r="N2062">
        <v>1</v>
      </c>
      <c r="O2062">
        <v>1</v>
      </c>
      <c r="P2062">
        <v>1</v>
      </c>
      <c r="Q2062">
        <v>1</v>
      </c>
      <c r="R2062">
        <v>1</v>
      </c>
      <c r="S2062">
        <v>1</v>
      </c>
    </row>
    <row r="2063" spans="1:19" x14ac:dyDescent="0.25">
      <c r="A2063" s="1">
        <v>0.7659353356481482</v>
      </c>
      <c r="B2063" s="145" t="s">
        <v>2</v>
      </c>
      <c r="C2063">
        <v>2062</v>
      </c>
      <c r="D2063">
        <v>0</v>
      </c>
      <c r="E2063">
        <v>1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1</v>
      </c>
      <c r="M2063">
        <v>1</v>
      </c>
      <c r="N2063">
        <v>1</v>
      </c>
      <c r="O2063">
        <v>1</v>
      </c>
      <c r="P2063">
        <v>1</v>
      </c>
      <c r="Q2063">
        <v>1</v>
      </c>
      <c r="R2063">
        <v>1</v>
      </c>
      <c r="S2063">
        <v>1</v>
      </c>
    </row>
    <row r="2064" spans="1:19" x14ac:dyDescent="0.25">
      <c r="A2064" s="1">
        <v>0.76593545138888885</v>
      </c>
      <c r="B2064" s="145" t="s">
        <v>165</v>
      </c>
      <c r="C2064">
        <v>2063</v>
      </c>
      <c r="D2064">
        <v>1</v>
      </c>
      <c r="E2064">
        <v>1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1</v>
      </c>
      <c r="N2064">
        <v>1</v>
      </c>
      <c r="O2064">
        <v>1</v>
      </c>
      <c r="P2064">
        <v>1</v>
      </c>
      <c r="Q2064">
        <v>1</v>
      </c>
      <c r="R2064">
        <v>1</v>
      </c>
      <c r="S2064">
        <v>1</v>
      </c>
    </row>
    <row r="2065" spans="1:19" x14ac:dyDescent="0.25">
      <c r="A2065" s="1">
        <v>0.76593556712962962</v>
      </c>
      <c r="B2065" s="145" t="s">
        <v>165</v>
      </c>
      <c r="C2065">
        <v>2064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1</v>
      </c>
      <c r="M2065">
        <v>1</v>
      </c>
      <c r="N2065">
        <v>1</v>
      </c>
      <c r="O2065">
        <v>1</v>
      </c>
      <c r="P2065">
        <v>1</v>
      </c>
      <c r="Q2065">
        <v>1</v>
      </c>
      <c r="R2065">
        <v>1</v>
      </c>
      <c r="S2065">
        <v>1</v>
      </c>
    </row>
    <row r="2066" spans="1:19" x14ac:dyDescent="0.25">
      <c r="A2066" s="1">
        <v>0.76593568287037039</v>
      </c>
      <c r="B2066" s="145" t="s">
        <v>165</v>
      </c>
      <c r="C2066">
        <v>2065</v>
      </c>
      <c r="D2066">
        <v>1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1</v>
      </c>
      <c r="O2066">
        <v>1</v>
      </c>
      <c r="P2066">
        <v>1</v>
      </c>
      <c r="Q2066">
        <v>1</v>
      </c>
      <c r="R2066">
        <v>1</v>
      </c>
      <c r="S2066">
        <v>1</v>
      </c>
    </row>
    <row r="2067" spans="1:19" x14ac:dyDescent="0.25">
      <c r="A2067" s="1">
        <v>0.76593579861111116</v>
      </c>
      <c r="B2067" s="145" t="s">
        <v>165</v>
      </c>
      <c r="C2067">
        <v>2066</v>
      </c>
      <c r="D2067">
        <v>1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1</v>
      </c>
      <c r="N2067">
        <v>1</v>
      </c>
      <c r="O2067">
        <v>1</v>
      </c>
      <c r="P2067">
        <v>1</v>
      </c>
      <c r="Q2067">
        <v>1</v>
      </c>
      <c r="R2067">
        <v>1</v>
      </c>
      <c r="S2067">
        <v>1</v>
      </c>
    </row>
    <row r="2068" spans="1:19" x14ac:dyDescent="0.25">
      <c r="A2068" s="1">
        <v>0.76593591435185182</v>
      </c>
      <c r="B2068" s="145" t="s">
        <v>165</v>
      </c>
      <c r="C2068">
        <v>2067</v>
      </c>
      <c r="D2068">
        <v>1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1</v>
      </c>
      <c r="O2068">
        <v>1</v>
      </c>
      <c r="P2068">
        <v>1</v>
      </c>
      <c r="Q2068">
        <v>1</v>
      </c>
      <c r="R2068">
        <v>1</v>
      </c>
      <c r="S2068">
        <v>1</v>
      </c>
    </row>
    <row r="2069" spans="1:19" x14ac:dyDescent="0.25">
      <c r="A2069" s="1">
        <v>0.76593603009259259</v>
      </c>
      <c r="B2069" s="145" t="s">
        <v>2</v>
      </c>
      <c r="C2069">
        <v>2068</v>
      </c>
      <c r="D2069">
        <v>0</v>
      </c>
      <c r="E2069">
        <v>1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1</v>
      </c>
      <c r="N2069">
        <v>1</v>
      </c>
      <c r="O2069">
        <v>1</v>
      </c>
      <c r="P2069">
        <v>1</v>
      </c>
      <c r="Q2069">
        <v>1</v>
      </c>
      <c r="R2069">
        <v>1</v>
      </c>
      <c r="S2069">
        <v>1</v>
      </c>
    </row>
    <row r="2070" spans="1:19" x14ac:dyDescent="0.25">
      <c r="A2070" s="1">
        <v>0.76593614583333336</v>
      </c>
      <c r="B2070" s="145" t="s">
        <v>165</v>
      </c>
      <c r="C2070">
        <v>2069</v>
      </c>
      <c r="D2070">
        <v>1</v>
      </c>
      <c r="E2070">
        <v>1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1</v>
      </c>
      <c r="N2070">
        <v>1</v>
      </c>
      <c r="O2070">
        <v>1</v>
      </c>
      <c r="P2070">
        <v>1</v>
      </c>
      <c r="Q2070">
        <v>1</v>
      </c>
      <c r="R2070">
        <v>1</v>
      </c>
      <c r="S2070">
        <v>1</v>
      </c>
    </row>
    <row r="2071" spans="1:19" x14ac:dyDescent="0.25">
      <c r="A2071" s="1">
        <v>0.76593626157407413</v>
      </c>
      <c r="B2071" s="145" t="s">
        <v>165</v>
      </c>
      <c r="C2071">
        <v>2070</v>
      </c>
      <c r="D2071">
        <v>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1</v>
      </c>
      <c r="N2071">
        <v>1</v>
      </c>
      <c r="O2071">
        <v>1</v>
      </c>
      <c r="P2071">
        <v>1</v>
      </c>
      <c r="Q2071">
        <v>1</v>
      </c>
      <c r="R2071">
        <v>1</v>
      </c>
      <c r="S2071">
        <v>1</v>
      </c>
    </row>
    <row r="2072" spans="1:19" x14ac:dyDescent="0.25">
      <c r="A2072" s="1">
        <v>0.76593637731481479</v>
      </c>
      <c r="B2072" s="145" t="s">
        <v>165</v>
      </c>
      <c r="C2072">
        <v>2071</v>
      </c>
      <c r="D2072">
        <v>1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1</v>
      </c>
      <c r="N2072">
        <v>1</v>
      </c>
      <c r="O2072">
        <v>1</v>
      </c>
      <c r="P2072">
        <v>1</v>
      </c>
      <c r="Q2072">
        <v>1</v>
      </c>
      <c r="R2072">
        <v>1</v>
      </c>
      <c r="S2072">
        <v>1</v>
      </c>
    </row>
    <row r="2073" spans="1:19" x14ac:dyDescent="0.25">
      <c r="A2073" s="1">
        <v>0.76593649305555556</v>
      </c>
      <c r="B2073" s="145" t="s">
        <v>165</v>
      </c>
      <c r="C2073">
        <v>2072</v>
      </c>
      <c r="D2073">
        <v>1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1</v>
      </c>
      <c r="N2073">
        <v>1</v>
      </c>
      <c r="O2073">
        <v>1</v>
      </c>
      <c r="P2073">
        <v>1</v>
      </c>
      <c r="Q2073">
        <v>1</v>
      </c>
      <c r="R2073">
        <v>1</v>
      </c>
      <c r="S2073">
        <v>1</v>
      </c>
    </row>
    <row r="2074" spans="1:19" x14ac:dyDescent="0.25">
      <c r="A2074" s="1">
        <v>0.76593660879629633</v>
      </c>
      <c r="B2074" s="145" t="s">
        <v>165</v>
      </c>
      <c r="C2074">
        <v>2073</v>
      </c>
      <c r="D2074">
        <v>1</v>
      </c>
      <c r="E2074">
        <v>1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</v>
      </c>
      <c r="N2074">
        <v>1</v>
      </c>
      <c r="O2074">
        <v>1</v>
      </c>
      <c r="P2074">
        <v>1</v>
      </c>
      <c r="Q2074">
        <v>1</v>
      </c>
      <c r="R2074">
        <v>1</v>
      </c>
      <c r="S2074">
        <v>1</v>
      </c>
    </row>
    <row r="2075" spans="1:19" x14ac:dyDescent="0.25">
      <c r="A2075" s="1">
        <v>0.76593672453703698</v>
      </c>
      <c r="B2075" s="145" t="s">
        <v>2</v>
      </c>
      <c r="C2075">
        <v>2074</v>
      </c>
      <c r="D2075">
        <v>0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1</v>
      </c>
      <c r="N2075">
        <v>1</v>
      </c>
      <c r="O2075">
        <v>1</v>
      </c>
      <c r="P2075">
        <v>1</v>
      </c>
      <c r="Q2075">
        <v>1</v>
      </c>
      <c r="R2075">
        <v>1</v>
      </c>
      <c r="S2075">
        <v>1</v>
      </c>
    </row>
    <row r="2076" spans="1:19" x14ac:dyDescent="0.25">
      <c r="A2076" s="1">
        <v>0.76593684027777775</v>
      </c>
      <c r="B2076" s="145" t="s">
        <v>165</v>
      </c>
      <c r="C2076">
        <v>2075</v>
      </c>
      <c r="D2076">
        <v>1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1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</row>
    <row r="2077" spans="1:19" x14ac:dyDescent="0.25">
      <c r="A2077" s="1">
        <v>0.76593695601851852</v>
      </c>
      <c r="B2077" s="145" t="s">
        <v>165</v>
      </c>
      <c r="C2077">
        <v>2076</v>
      </c>
      <c r="D2077">
        <v>1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1</v>
      </c>
      <c r="N2077">
        <v>1</v>
      </c>
      <c r="O2077">
        <v>1</v>
      </c>
      <c r="P2077">
        <v>1</v>
      </c>
      <c r="Q2077">
        <v>1</v>
      </c>
      <c r="R2077">
        <v>1</v>
      </c>
      <c r="S2077">
        <v>1</v>
      </c>
    </row>
    <row r="2078" spans="1:19" x14ac:dyDescent="0.25">
      <c r="A2078" s="1">
        <v>0.76593707175925929</v>
      </c>
      <c r="B2078" s="145" t="s">
        <v>165</v>
      </c>
      <c r="C2078">
        <v>2077</v>
      </c>
      <c r="D2078">
        <v>1</v>
      </c>
      <c r="E2078">
        <v>1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1</v>
      </c>
      <c r="O2078">
        <v>1</v>
      </c>
      <c r="P2078">
        <v>1</v>
      </c>
      <c r="Q2078">
        <v>1</v>
      </c>
      <c r="R2078">
        <v>1</v>
      </c>
      <c r="S2078">
        <v>1</v>
      </c>
    </row>
    <row r="2079" spans="1:19" x14ac:dyDescent="0.25">
      <c r="A2079" s="1">
        <v>0.76593718749999995</v>
      </c>
      <c r="B2079" s="145" t="s">
        <v>165</v>
      </c>
      <c r="C2079">
        <v>2078</v>
      </c>
      <c r="D2079">
        <v>1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1</v>
      </c>
      <c r="N2079">
        <v>1</v>
      </c>
      <c r="O2079">
        <v>1</v>
      </c>
      <c r="P2079">
        <v>1</v>
      </c>
      <c r="Q2079">
        <v>1</v>
      </c>
      <c r="R2079">
        <v>1</v>
      </c>
      <c r="S2079">
        <v>1</v>
      </c>
    </row>
    <row r="2080" spans="1:19" x14ac:dyDescent="0.25">
      <c r="A2080" s="1">
        <v>0.76593730324074072</v>
      </c>
      <c r="B2080" s="145" t="s">
        <v>165</v>
      </c>
      <c r="C2080">
        <v>2079</v>
      </c>
      <c r="D2080">
        <v>1</v>
      </c>
      <c r="E2080">
        <v>1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1</v>
      </c>
      <c r="N2080">
        <v>1</v>
      </c>
      <c r="O2080">
        <v>1</v>
      </c>
      <c r="P2080">
        <v>1</v>
      </c>
      <c r="Q2080">
        <v>1</v>
      </c>
      <c r="R2080">
        <v>1</v>
      </c>
      <c r="S2080">
        <v>1</v>
      </c>
    </row>
    <row r="2081" spans="1:19" x14ac:dyDescent="0.25">
      <c r="A2081" s="1">
        <v>0.76593741898148149</v>
      </c>
      <c r="B2081" s="145" t="s">
        <v>2</v>
      </c>
      <c r="C2081">
        <v>2080</v>
      </c>
      <c r="D2081">
        <v>0</v>
      </c>
      <c r="E2081">
        <v>1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1</v>
      </c>
      <c r="N2081">
        <v>1</v>
      </c>
      <c r="O2081">
        <v>1</v>
      </c>
      <c r="P2081">
        <v>1</v>
      </c>
      <c r="Q2081">
        <v>1</v>
      </c>
      <c r="R2081">
        <v>1</v>
      </c>
      <c r="S2081">
        <v>1</v>
      </c>
    </row>
    <row r="2082" spans="1:19" x14ac:dyDescent="0.25">
      <c r="A2082" s="1">
        <v>0.76593753472222226</v>
      </c>
      <c r="B2082" s="145" t="s">
        <v>165</v>
      </c>
      <c r="C2082">
        <v>2081</v>
      </c>
      <c r="D2082">
        <v>1</v>
      </c>
      <c r="E2082">
        <v>1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1</v>
      </c>
      <c r="N2082">
        <v>1</v>
      </c>
      <c r="O2082">
        <v>1</v>
      </c>
      <c r="P2082">
        <v>1</v>
      </c>
      <c r="Q2082">
        <v>1</v>
      </c>
      <c r="R2082">
        <v>1</v>
      </c>
      <c r="S2082">
        <v>1</v>
      </c>
    </row>
    <row r="2083" spans="1:19" x14ac:dyDescent="0.25">
      <c r="A2083" s="1">
        <v>0.76593765046296292</v>
      </c>
      <c r="B2083" s="145" t="s">
        <v>165</v>
      </c>
      <c r="C2083">
        <v>2082</v>
      </c>
      <c r="D2083">
        <v>1</v>
      </c>
      <c r="E2083">
        <v>1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1</v>
      </c>
      <c r="O2083">
        <v>1</v>
      </c>
      <c r="P2083">
        <v>1</v>
      </c>
      <c r="Q2083">
        <v>1</v>
      </c>
      <c r="R2083">
        <v>1</v>
      </c>
      <c r="S2083">
        <v>1</v>
      </c>
    </row>
    <row r="2084" spans="1:19" x14ac:dyDescent="0.25">
      <c r="A2084" s="1">
        <v>0.76593776620370368</v>
      </c>
      <c r="B2084" s="145" t="s">
        <v>165</v>
      </c>
      <c r="C2084">
        <v>2083</v>
      </c>
      <c r="D2084">
        <v>1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1</v>
      </c>
      <c r="M2084">
        <v>1</v>
      </c>
      <c r="N2084">
        <v>1</v>
      </c>
      <c r="O2084">
        <v>1</v>
      </c>
      <c r="P2084">
        <v>1</v>
      </c>
      <c r="Q2084">
        <v>1</v>
      </c>
      <c r="R2084">
        <v>1</v>
      </c>
      <c r="S2084">
        <v>1</v>
      </c>
    </row>
    <row r="2085" spans="1:19" x14ac:dyDescent="0.25">
      <c r="A2085" s="1">
        <v>0.76593788194444445</v>
      </c>
      <c r="B2085" s="145" t="s">
        <v>165</v>
      </c>
      <c r="C2085">
        <v>2084</v>
      </c>
      <c r="D2085">
        <v>1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1</v>
      </c>
      <c r="O2085">
        <v>1</v>
      </c>
      <c r="P2085">
        <v>1</v>
      </c>
      <c r="Q2085">
        <v>1</v>
      </c>
      <c r="R2085">
        <v>1</v>
      </c>
      <c r="S2085">
        <v>1</v>
      </c>
    </row>
    <row r="2086" spans="1:19" x14ac:dyDescent="0.25">
      <c r="A2086" s="1">
        <v>0.76593799768518522</v>
      </c>
      <c r="B2086" s="145" t="s">
        <v>165</v>
      </c>
      <c r="C2086">
        <v>2085</v>
      </c>
      <c r="D2086">
        <v>1</v>
      </c>
      <c r="E2086">
        <v>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1</v>
      </c>
      <c r="O2086">
        <v>1</v>
      </c>
      <c r="P2086">
        <v>1</v>
      </c>
      <c r="Q2086">
        <v>1</v>
      </c>
      <c r="R2086">
        <v>1</v>
      </c>
      <c r="S2086">
        <v>1</v>
      </c>
    </row>
    <row r="2087" spans="1:19" x14ac:dyDescent="0.25">
      <c r="A2087" s="1">
        <v>0.76593811342592588</v>
      </c>
      <c r="B2087" s="145" t="s">
        <v>165</v>
      </c>
      <c r="C2087">
        <v>2086</v>
      </c>
      <c r="D2087">
        <v>1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1</v>
      </c>
      <c r="N2087">
        <v>1</v>
      </c>
      <c r="O2087">
        <v>1</v>
      </c>
      <c r="P2087">
        <v>1</v>
      </c>
      <c r="Q2087">
        <v>1</v>
      </c>
      <c r="R2087">
        <v>1</v>
      </c>
      <c r="S2087">
        <v>1</v>
      </c>
    </row>
    <row r="2088" spans="1:19" x14ac:dyDescent="0.25">
      <c r="A2088" s="1">
        <v>0.76593822916666665</v>
      </c>
      <c r="B2088" s="145" t="s">
        <v>165</v>
      </c>
      <c r="C2088">
        <v>2087</v>
      </c>
      <c r="D2088">
        <v>1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1</v>
      </c>
      <c r="N2088">
        <v>1</v>
      </c>
      <c r="O2088">
        <v>1</v>
      </c>
      <c r="P2088">
        <v>1</v>
      </c>
      <c r="Q2088">
        <v>1</v>
      </c>
      <c r="R2088">
        <v>1</v>
      </c>
      <c r="S2088">
        <v>1</v>
      </c>
    </row>
    <row r="2089" spans="1:19" x14ac:dyDescent="0.25">
      <c r="A2089" s="1">
        <v>0.76593834490740742</v>
      </c>
      <c r="B2089" s="145" t="s">
        <v>165</v>
      </c>
      <c r="C2089">
        <v>2088</v>
      </c>
      <c r="D2089">
        <v>1</v>
      </c>
      <c r="E2089">
        <v>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1</v>
      </c>
      <c r="N2089">
        <v>1</v>
      </c>
      <c r="O2089">
        <v>1</v>
      </c>
      <c r="P2089">
        <v>1</v>
      </c>
      <c r="Q2089">
        <v>1</v>
      </c>
      <c r="R2089">
        <v>1</v>
      </c>
      <c r="S2089">
        <v>1</v>
      </c>
    </row>
    <row r="2090" spans="1:19" x14ac:dyDescent="0.25">
      <c r="A2090" s="1">
        <v>0.76593846064814819</v>
      </c>
      <c r="B2090" s="145" t="s">
        <v>165</v>
      </c>
      <c r="C2090">
        <v>2089</v>
      </c>
      <c r="D2090">
        <v>1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1</v>
      </c>
      <c r="O2090">
        <v>1</v>
      </c>
      <c r="P2090">
        <v>1</v>
      </c>
      <c r="Q2090">
        <v>1</v>
      </c>
      <c r="R2090">
        <v>1</v>
      </c>
      <c r="S2090">
        <v>1</v>
      </c>
    </row>
    <row r="2091" spans="1:19" x14ac:dyDescent="0.25">
      <c r="A2091" s="1">
        <v>0.76593857638888885</v>
      </c>
      <c r="B2091" s="145" t="s">
        <v>165</v>
      </c>
      <c r="C2091">
        <v>2090</v>
      </c>
      <c r="D2091">
        <v>1</v>
      </c>
      <c r="E2091">
        <v>1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1</v>
      </c>
      <c r="N2091">
        <v>1</v>
      </c>
      <c r="O2091">
        <v>1</v>
      </c>
      <c r="P2091">
        <v>1</v>
      </c>
      <c r="Q2091">
        <v>1</v>
      </c>
      <c r="R2091">
        <v>1</v>
      </c>
      <c r="S2091">
        <v>1</v>
      </c>
    </row>
    <row r="2092" spans="1:19" x14ac:dyDescent="0.25">
      <c r="A2092" s="1">
        <v>0.76593869212962962</v>
      </c>
      <c r="B2092" s="145" t="s">
        <v>165</v>
      </c>
      <c r="C2092">
        <v>2091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1</v>
      </c>
      <c r="N2092">
        <v>1</v>
      </c>
      <c r="O2092">
        <v>1</v>
      </c>
      <c r="P2092">
        <v>1</v>
      </c>
      <c r="Q2092">
        <v>1</v>
      </c>
      <c r="R2092">
        <v>1</v>
      </c>
      <c r="S2092">
        <v>1</v>
      </c>
    </row>
    <row r="2093" spans="1:19" x14ac:dyDescent="0.25">
      <c r="A2093" s="1">
        <v>0.76593880787037039</v>
      </c>
      <c r="B2093" s="145" t="s">
        <v>165</v>
      </c>
      <c r="C2093">
        <v>2092</v>
      </c>
      <c r="D2093">
        <v>1</v>
      </c>
      <c r="E2093">
        <v>1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1</v>
      </c>
      <c r="M2093">
        <v>1</v>
      </c>
      <c r="N2093">
        <v>1</v>
      </c>
      <c r="O2093">
        <v>1</v>
      </c>
      <c r="P2093">
        <v>1</v>
      </c>
      <c r="Q2093">
        <v>1</v>
      </c>
      <c r="R2093">
        <v>1</v>
      </c>
      <c r="S2093">
        <v>1</v>
      </c>
    </row>
    <row r="2094" spans="1:19" x14ac:dyDescent="0.25">
      <c r="A2094" s="1">
        <v>0.76593892361111116</v>
      </c>
      <c r="B2094" s="145" t="s">
        <v>165</v>
      </c>
      <c r="C2094">
        <v>2093</v>
      </c>
      <c r="D2094">
        <v>1</v>
      </c>
      <c r="E2094">
        <v>1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1</v>
      </c>
      <c r="N2094">
        <v>1</v>
      </c>
      <c r="O2094">
        <v>1</v>
      </c>
      <c r="P2094">
        <v>1</v>
      </c>
      <c r="Q2094">
        <v>1</v>
      </c>
      <c r="R2094">
        <v>1</v>
      </c>
      <c r="S2094">
        <v>1</v>
      </c>
    </row>
    <row r="2095" spans="1:19" x14ac:dyDescent="0.25">
      <c r="A2095" s="1">
        <v>0.76593903935185181</v>
      </c>
      <c r="B2095" s="145" t="s">
        <v>165</v>
      </c>
      <c r="C2095">
        <v>2094</v>
      </c>
      <c r="D2095">
        <v>1</v>
      </c>
      <c r="E2095">
        <v>1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1</v>
      </c>
      <c r="N2095">
        <v>1</v>
      </c>
      <c r="O2095">
        <v>1</v>
      </c>
      <c r="P2095">
        <v>1</v>
      </c>
      <c r="Q2095">
        <v>1</v>
      </c>
      <c r="R2095">
        <v>1</v>
      </c>
      <c r="S2095">
        <v>1</v>
      </c>
    </row>
    <row r="2096" spans="1:19" x14ac:dyDescent="0.25">
      <c r="A2096" s="1">
        <v>0.76593915509259258</v>
      </c>
      <c r="B2096" s="145" t="s">
        <v>165</v>
      </c>
      <c r="C2096">
        <v>2095</v>
      </c>
      <c r="D2096">
        <v>1</v>
      </c>
      <c r="E2096">
        <v>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1</v>
      </c>
      <c r="Q2096">
        <v>1</v>
      </c>
      <c r="R2096">
        <v>1</v>
      </c>
      <c r="S2096">
        <v>1</v>
      </c>
    </row>
    <row r="2097" spans="1:19" x14ac:dyDescent="0.25">
      <c r="A2097" s="1">
        <v>0.76593927083333335</v>
      </c>
      <c r="B2097" s="145" t="s">
        <v>165</v>
      </c>
      <c r="C2097">
        <v>2096</v>
      </c>
      <c r="D2097">
        <v>1</v>
      </c>
      <c r="E2097">
        <v>1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1</v>
      </c>
      <c r="M2097">
        <v>1</v>
      </c>
      <c r="N2097">
        <v>1</v>
      </c>
      <c r="O2097">
        <v>1</v>
      </c>
      <c r="P2097">
        <v>1</v>
      </c>
      <c r="Q2097">
        <v>1</v>
      </c>
      <c r="R2097">
        <v>1</v>
      </c>
      <c r="S2097">
        <v>1</v>
      </c>
    </row>
    <row r="2098" spans="1:19" x14ac:dyDescent="0.25">
      <c r="A2098" s="1">
        <v>0.76593938657407412</v>
      </c>
      <c r="B2098" s="145" t="s">
        <v>165</v>
      </c>
      <c r="C2098">
        <v>2097</v>
      </c>
      <c r="D2098">
        <v>1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1</v>
      </c>
      <c r="N2098">
        <v>1</v>
      </c>
      <c r="O2098">
        <v>1</v>
      </c>
      <c r="P2098">
        <v>1</v>
      </c>
      <c r="Q2098">
        <v>1</v>
      </c>
      <c r="R2098">
        <v>1</v>
      </c>
      <c r="S2098">
        <v>1</v>
      </c>
    </row>
    <row r="2099" spans="1:19" x14ac:dyDescent="0.25">
      <c r="A2099" s="1">
        <v>0.76593950231481478</v>
      </c>
      <c r="B2099" s="145" t="s">
        <v>165</v>
      </c>
      <c r="C2099">
        <v>2098</v>
      </c>
      <c r="D2099">
        <v>1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1</v>
      </c>
      <c r="N2099">
        <v>1</v>
      </c>
      <c r="O2099">
        <v>1</v>
      </c>
      <c r="P2099">
        <v>1</v>
      </c>
      <c r="Q2099">
        <v>1</v>
      </c>
      <c r="R2099">
        <v>1</v>
      </c>
      <c r="S2099">
        <v>1</v>
      </c>
    </row>
    <row r="2100" spans="1:19" x14ac:dyDescent="0.25">
      <c r="A2100" s="1">
        <v>0.76593961805555555</v>
      </c>
      <c r="B2100" s="145" t="s">
        <v>165</v>
      </c>
      <c r="C2100">
        <v>2099</v>
      </c>
      <c r="D2100">
        <v>1</v>
      </c>
      <c r="E2100">
        <v>1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</row>
    <row r="2101" spans="1:19" x14ac:dyDescent="0.25">
      <c r="A2101" s="1">
        <v>0.76593973379629632</v>
      </c>
      <c r="B2101" s="145" t="s">
        <v>165</v>
      </c>
      <c r="C2101">
        <v>2100</v>
      </c>
      <c r="D2101">
        <v>1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1</v>
      </c>
      <c r="N2101">
        <v>1</v>
      </c>
      <c r="O2101">
        <v>1</v>
      </c>
      <c r="P2101">
        <v>1</v>
      </c>
      <c r="Q2101">
        <v>1</v>
      </c>
      <c r="R2101">
        <v>1</v>
      </c>
      <c r="S2101">
        <v>1</v>
      </c>
    </row>
    <row r="2102" spans="1:19" x14ac:dyDescent="0.25">
      <c r="A2102" s="1">
        <v>0.76593984953703709</v>
      </c>
      <c r="B2102" s="145" t="s">
        <v>165</v>
      </c>
      <c r="C2102">
        <v>2101</v>
      </c>
      <c r="D2102">
        <v>1</v>
      </c>
      <c r="E2102">
        <v>1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1</v>
      </c>
      <c r="M2102">
        <v>1</v>
      </c>
      <c r="N2102">
        <v>1</v>
      </c>
      <c r="O2102">
        <v>1</v>
      </c>
      <c r="P2102">
        <v>1</v>
      </c>
      <c r="Q2102">
        <v>1</v>
      </c>
      <c r="R2102">
        <v>1</v>
      </c>
      <c r="S2102">
        <v>1</v>
      </c>
    </row>
    <row r="2103" spans="1:19" x14ac:dyDescent="0.25">
      <c r="A2103" s="1">
        <v>0.76593995370370371</v>
      </c>
      <c r="B2103" s="145" t="s">
        <v>165</v>
      </c>
      <c r="C2103">
        <v>2102</v>
      </c>
      <c r="D2103">
        <v>1</v>
      </c>
      <c r="E2103">
        <v>1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1</v>
      </c>
      <c r="N2103">
        <v>1</v>
      </c>
      <c r="O2103">
        <v>1</v>
      </c>
      <c r="P2103">
        <v>1</v>
      </c>
      <c r="Q2103">
        <v>1</v>
      </c>
      <c r="R2103">
        <v>1</v>
      </c>
      <c r="S2103">
        <v>1</v>
      </c>
    </row>
    <row r="2104" spans="1:19" x14ac:dyDescent="0.25">
      <c r="A2104" s="1">
        <v>0.76594006944444448</v>
      </c>
      <c r="B2104" s="145" t="s">
        <v>165</v>
      </c>
      <c r="C2104">
        <v>2103</v>
      </c>
      <c r="D2104">
        <v>1</v>
      </c>
      <c r="E2104">
        <v>1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1</v>
      </c>
      <c r="N2104">
        <v>1</v>
      </c>
      <c r="O2104">
        <v>1</v>
      </c>
      <c r="P2104">
        <v>1</v>
      </c>
      <c r="Q2104">
        <v>1</v>
      </c>
      <c r="R2104">
        <v>1</v>
      </c>
      <c r="S2104">
        <v>1</v>
      </c>
    </row>
    <row r="2105" spans="1:19" x14ac:dyDescent="0.25">
      <c r="A2105" s="1">
        <v>0.76594018518518514</v>
      </c>
      <c r="B2105" s="145" t="s">
        <v>165</v>
      </c>
      <c r="C2105">
        <v>2104</v>
      </c>
      <c r="D2105">
        <v>1</v>
      </c>
      <c r="E2105">
        <v>1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1</v>
      </c>
      <c r="N2105">
        <v>1</v>
      </c>
      <c r="O2105">
        <v>1</v>
      </c>
      <c r="P2105">
        <v>1</v>
      </c>
      <c r="Q2105">
        <v>1</v>
      </c>
      <c r="R2105">
        <v>1</v>
      </c>
      <c r="S2105">
        <v>1</v>
      </c>
    </row>
    <row r="2106" spans="1:19" x14ac:dyDescent="0.25">
      <c r="A2106" s="1">
        <v>0.76594030092592591</v>
      </c>
      <c r="B2106" s="145" t="s">
        <v>165</v>
      </c>
      <c r="C2106">
        <v>2105</v>
      </c>
      <c r="D2106">
        <v>1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1</v>
      </c>
      <c r="N2106">
        <v>1</v>
      </c>
      <c r="O2106">
        <v>1</v>
      </c>
      <c r="P2106">
        <v>1</v>
      </c>
      <c r="Q2106">
        <v>1</v>
      </c>
      <c r="R2106">
        <v>1</v>
      </c>
      <c r="S2106">
        <v>1</v>
      </c>
    </row>
    <row r="2107" spans="1:19" x14ac:dyDescent="0.25">
      <c r="A2107" s="1">
        <v>0.76594041666666668</v>
      </c>
      <c r="B2107" s="145" t="s">
        <v>165</v>
      </c>
      <c r="C2107">
        <v>2106</v>
      </c>
      <c r="D2107">
        <v>1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1</v>
      </c>
      <c r="N2107">
        <v>1</v>
      </c>
      <c r="O2107">
        <v>1</v>
      </c>
      <c r="P2107">
        <v>1</v>
      </c>
      <c r="Q2107">
        <v>1</v>
      </c>
      <c r="R2107">
        <v>1</v>
      </c>
      <c r="S2107">
        <v>1</v>
      </c>
    </row>
    <row r="2108" spans="1:19" x14ac:dyDescent="0.25">
      <c r="A2108" s="1">
        <v>0.76594053240740745</v>
      </c>
      <c r="B2108" s="145" t="s">
        <v>165</v>
      </c>
      <c r="C2108">
        <v>2107</v>
      </c>
      <c r="D2108">
        <v>1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1</v>
      </c>
      <c r="N2108">
        <v>1</v>
      </c>
      <c r="O2108">
        <v>1</v>
      </c>
      <c r="P2108">
        <v>1</v>
      </c>
      <c r="Q2108">
        <v>1</v>
      </c>
      <c r="R2108">
        <v>1</v>
      </c>
      <c r="S2108">
        <v>1</v>
      </c>
    </row>
    <row r="2109" spans="1:19" x14ac:dyDescent="0.25">
      <c r="A2109" s="1">
        <v>0.76594065972222225</v>
      </c>
      <c r="B2109" s="145" t="s">
        <v>165</v>
      </c>
      <c r="C2109">
        <v>2108</v>
      </c>
      <c r="D2109">
        <v>1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1</v>
      </c>
      <c r="M2109">
        <v>1</v>
      </c>
      <c r="N2109">
        <v>1</v>
      </c>
      <c r="O2109">
        <v>1</v>
      </c>
      <c r="P2109">
        <v>1</v>
      </c>
      <c r="Q2109">
        <v>1</v>
      </c>
      <c r="R2109">
        <v>1</v>
      </c>
      <c r="S2109">
        <v>1</v>
      </c>
    </row>
    <row r="2110" spans="1:19" x14ac:dyDescent="0.25">
      <c r="A2110" s="1">
        <v>0.76594076388888888</v>
      </c>
      <c r="B2110" s="145" t="s">
        <v>165</v>
      </c>
      <c r="C2110">
        <v>2109</v>
      </c>
      <c r="D2110">
        <v>1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1</v>
      </c>
      <c r="M2110">
        <v>1</v>
      </c>
      <c r="N2110">
        <v>1</v>
      </c>
      <c r="O2110">
        <v>1</v>
      </c>
      <c r="P2110">
        <v>1</v>
      </c>
      <c r="Q2110">
        <v>1</v>
      </c>
      <c r="R2110">
        <v>1</v>
      </c>
      <c r="S2110">
        <v>1</v>
      </c>
    </row>
    <row r="2111" spans="1:19" x14ac:dyDescent="0.25">
      <c r="A2111" s="1">
        <v>0.76594087962962965</v>
      </c>
      <c r="B2111" s="145" t="s">
        <v>165</v>
      </c>
      <c r="C2111">
        <v>2110</v>
      </c>
      <c r="D2111">
        <v>1</v>
      </c>
      <c r="E2111">
        <v>1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</row>
    <row r="2112" spans="1:19" x14ac:dyDescent="0.25">
      <c r="A2112" s="1">
        <v>0.76594099537037041</v>
      </c>
      <c r="B2112" s="145" t="s">
        <v>165</v>
      </c>
      <c r="C2112">
        <v>2111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1</v>
      </c>
    </row>
    <row r="2113" spans="1:19" x14ac:dyDescent="0.25">
      <c r="A2113" s="1">
        <v>0.76594111111111107</v>
      </c>
      <c r="B2113" s="145" t="s">
        <v>165</v>
      </c>
      <c r="C2113">
        <v>2112</v>
      </c>
      <c r="D2113">
        <v>1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1</v>
      </c>
      <c r="M2113">
        <v>1</v>
      </c>
      <c r="N2113">
        <v>1</v>
      </c>
      <c r="O2113">
        <v>1</v>
      </c>
      <c r="P2113">
        <v>1</v>
      </c>
      <c r="Q2113">
        <v>1</v>
      </c>
      <c r="R2113">
        <v>1</v>
      </c>
      <c r="S2113">
        <v>1</v>
      </c>
    </row>
    <row r="2114" spans="1:19" x14ac:dyDescent="0.25">
      <c r="A2114" s="1">
        <v>0.76594122685185184</v>
      </c>
      <c r="B2114" s="145" t="s">
        <v>165</v>
      </c>
      <c r="C2114">
        <v>2113</v>
      </c>
      <c r="D2114">
        <v>1</v>
      </c>
      <c r="E2114">
        <v>1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1</v>
      </c>
      <c r="M2114">
        <v>1</v>
      </c>
      <c r="N2114">
        <v>1</v>
      </c>
      <c r="O2114">
        <v>1</v>
      </c>
      <c r="P2114">
        <v>1</v>
      </c>
      <c r="Q2114">
        <v>1</v>
      </c>
      <c r="R2114">
        <v>1</v>
      </c>
      <c r="S2114">
        <v>1</v>
      </c>
    </row>
    <row r="2115" spans="1:19" x14ac:dyDescent="0.25">
      <c r="A2115" s="1">
        <v>0.76594134259259261</v>
      </c>
      <c r="B2115" s="145" t="s">
        <v>165</v>
      </c>
      <c r="C2115">
        <v>2114</v>
      </c>
      <c r="D2115">
        <v>1</v>
      </c>
      <c r="E2115">
        <v>1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1</v>
      </c>
      <c r="N2115">
        <v>1</v>
      </c>
      <c r="O2115">
        <v>1</v>
      </c>
      <c r="P2115">
        <v>1</v>
      </c>
      <c r="Q2115">
        <v>1</v>
      </c>
      <c r="R2115">
        <v>1</v>
      </c>
      <c r="S2115">
        <v>1</v>
      </c>
    </row>
    <row r="2116" spans="1:19" x14ac:dyDescent="0.25">
      <c r="A2116" s="1">
        <v>0.76594145833333338</v>
      </c>
      <c r="B2116" s="145" t="s">
        <v>165</v>
      </c>
      <c r="C2116">
        <v>2115</v>
      </c>
      <c r="D2116">
        <v>1</v>
      </c>
      <c r="E2116">
        <v>1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1</v>
      </c>
      <c r="M2116">
        <v>1</v>
      </c>
      <c r="N2116">
        <v>1</v>
      </c>
      <c r="O2116">
        <v>1</v>
      </c>
      <c r="P2116">
        <v>1</v>
      </c>
      <c r="Q2116">
        <v>1</v>
      </c>
      <c r="R2116">
        <v>1</v>
      </c>
      <c r="S2116">
        <v>1</v>
      </c>
    </row>
    <row r="2117" spans="1:19" x14ac:dyDescent="0.25">
      <c r="A2117" s="1">
        <v>0.76594157407407404</v>
      </c>
      <c r="B2117" s="145" t="s">
        <v>165</v>
      </c>
      <c r="C2117">
        <v>2116</v>
      </c>
      <c r="D2117">
        <v>1</v>
      </c>
      <c r="E2117">
        <v>1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1</v>
      </c>
      <c r="M2117">
        <v>1</v>
      </c>
      <c r="N2117">
        <v>1</v>
      </c>
      <c r="O2117">
        <v>1</v>
      </c>
      <c r="P2117">
        <v>1</v>
      </c>
      <c r="Q2117">
        <v>1</v>
      </c>
      <c r="R2117">
        <v>1</v>
      </c>
      <c r="S2117">
        <v>1</v>
      </c>
    </row>
    <row r="2118" spans="1:19" x14ac:dyDescent="0.25">
      <c r="A2118" s="1">
        <v>0.76594168981481481</v>
      </c>
      <c r="B2118" s="145" t="s">
        <v>165</v>
      </c>
      <c r="C2118">
        <v>2117</v>
      </c>
      <c r="D2118">
        <v>1</v>
      </c>
      <c r="E2118">
        <v>1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>
        <v>1</v>
      </c>
      <c r="Q2118">
        <v>1</v>
      </c>
      <c r="R2118">
        <v>1</v>
      </c>
      <c r="S2118">
        <v>1</v>
      </c>
    </row>
    <row r="2119" spans="1:19" x14ac:dyDescent="0.25">
      <c r="A2119" s="1">
        <v>0.76594180555555558</v>
      </c>
      <c r="B2119" s="145" t="s">
        <v>165</v>
      </c>
      <c r="C2119">
        <v>2118</v>
      </c>
      <c r="D2119">
        <v>1</v>
      </c>
      <c r="E2119">
        <v>1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1</v>
      </c>
      <c r="N2119">
        <v>1</v>
      </c>
      <c r="O2119">
        <v>1</v>
      </c>
      <c r="P2119">
        <v>1</v>
      </c>
      <c r="Q2119">
        <v>1</v>
      </c>
      <c r="R2119">
        <v>1</v>
      </c>
      <c r="S2119">
        <v>1</v>
      </c>
    </row>
    <row r="2120" spans="1:19" x14ac:dyDescent="0.25">
      <c r="A2120" s="1">
        <v>0.76594192129629635</v>
      </c>
      <c r="B2120" s="145" t="s">
        <v>165</v>
      </c>
      <c r="C2120">
        <v>2119</v>
      </c>
      <c r="D2120">
        <v>1</v>
      </c>
      <c r="E2120">
        <v>1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1</v>
      </c>
      <c r="M2120">
        <v>1</v>
      </c>
      <c r="N2120">
        <v>1</v>
      </c>
      <c r="O2120">
        <v>1</v>
      </c>
      <c r="P2120">
        <v>1</v>
      </c>
      <c r="Q2120">
        <v>1</v>
      </c>
      <c r="R2120">
        <v>1</v>
      </c>
      <c r="S2120">
        <v>1</v>
      </c>
    </row>
    <row r="2121" spans="1:19" x14ac:dyDescent="0.25">
      <c r="A2121" s="1">
        <v>0.765942037037037</v>
      </c>
      <c r="B2121" s="145" t="s">
        <v>165</v>
      </c>
      <c r="C2121">
        <v>2120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1</v>
      </c>
      <c r="M2121">
        <v>1</v>
      </c>
      <c r="N2121">
        <v>1</v>
      </c>
      <c r="O2121">
        <v>1</v>
      </c>
      <c r="P2121">
        <v>1</v>
      </c>
      <c r="Q2121">
        <v>1</v>
      </c>
      <c r="R2121">
        <v>1</v>
      </c>
      <c r="S2121">
        <v>1</v>
      </c>
    </row>
    <row r="2122" spans="1:19" x14ac:dyDescent="0.25">
      <c r="A2122" s="1">
        <v>0.76594215277777777</v>
      </c>
      <c r="B2122" s="145" t="s">
        <v>165</v>
      </c>
      <c r="C2122">
        <v>2121</v>
      </c>
      <c r="D2122">
        <v>1</v>
      </c>
      <c r="E2122">
        <v>1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1</v>
      </c>
      <c r="M2122">
        <v>1</v>
      </c>
      <c r="N2122">
        <v>1</v>
      </c>
      <c r="O2122">
        <v>1</v>
      </c>
      <c r="P2122">
        <v>1</v>
      </c>
      <c r="Q2122">
        <v>1</v>
      </c>
      <c r="R2122">
        <v>1</v>
      </c>
      <c r="S2122">
        <v>1</v>
      </c>
    </row>
    <row r="2123" spans="1:19" x14ac:dyDescent="0.25">
      <c r="A2123" s="1">
        <v>0.76594226851851854</v>
      </c>
      <c r="B2123" s="145" t="s">
        <v>165</v>
      </c>
      <c r="C2123">
        <v>2122</v>
      </c>
      <c r="D2123">
        <v>1</v>
      </c>
      <c r="E2123">
        <v>1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1</v>
      </c>
      <c r="O2123">
        <v>1</v>
      </c>
      <c r="P2123">
        <v>1</v>
      </c>
      <c r="Q2123">
        <v>1</v>
      </c>
      <c r="R2123">
        <v>1</v>
      </c>
      <c r="S2123">
        <v>1</v>
      </c>
    </row>
    <row r="2124" spans="1:19" x14ac:dyDescent="0.25">
      <c r="A2124" s="1">
        <v>0.76594238425925931</v>
      </c>
      <c r="B2124" s="145" t="s">
        <v>165</v>
      </c>
      <c r="C2124">
        <v>2123</v>
      </c>
      <c r="D2124">
        <v>1</v>
      </c>
      <c r="E2124">
        <v>1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1</v>
      </c>
      <c r="N2124">
        <v>1</v>
      </c>
      <c r="O2124">
        <v>1</v>
      </c>
      <c r="P2124">
        <v>1</v>
      </c>
      <c r="Q2124">
        <v>1</v>
      </c>
      <c r="R2124">
        <v>1</v>
      </c>
      <c r="S2124">
        <v>1</v>
      </c>
    </row>
    <row r="2125" spans="1:19" x14ac:dyDescent="0.25">
      <c r="A2125" s="1">
        <v>0.76594249999999997</v>
      </c>
      <c r="B2125" s="145" t="s">
        <v>165</v>
      </c>
      <c r="C2125">
        <v>2124</v>
      </c>
      <c r="D2125">
        <v>1</v>
      </c>
      <c r="E2125">
        <v>1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1</v>
      </c>
      <c r="N2125">
        <v>1</v>
      </c>
      <c r="O2125">
        <v>1</v>
      </c>
      <c r="P2125">
        <v>1</v>
      </c>
      <c r="Q2125">
        <v>1</v>
      </c>
      <c r="R2125">
        <v>1</v>
      </c>
      <c r="S2125">
        <v>1</v>
      </c>
    </row>
    <row r="2126" spans="1:19" x14ac:dyDescent="0.25">
      <c r="A2126" s="1">
        <v>0.76594261574074074</v>
      </c>
      <c r="B2126" s="145" t="s">
        <v>165</v>
      </c>
      <c r="C2126">
        <v>2125</v>
      </c>
      <c r="D2126">
        <v>1</v>
      </c>
      <c r="E2126">
        <v>1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1</v>
      </c>
      <c r="M2126">
        <v>1</v>
      </c>
      <c r="N2126">
        <v>1</v>
      </c>
      <c r="O2126">
        <v>1</v>
      </c>
      <c r="P2126">
        <v>1</v>
      </c>
      <c r="Q2126">
        <v>1</v>
      </c>
      <c r="R2126">
        <v>1</v>
      </c>
      <c r="S2126">
        <v>1</v>
      </c>
    </row>
    <row r="2127" spans="1:19" x14ac:dyDescent="0.25">
      <c r="A2127" s="1">
        <v>0.76594273148148151</v>
      </c>
      <c r="B2127" s="145" t="s">
        <v>165</v>
      </c>
      <c r="C2127">
        <v>2126</v>
      </c>
      <c r="D2127">
        <v>1</v>
      </c>
      <c r="E2127">
        <v>1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1</v>
      </c>
      <c r="N2127">
        <v>1</v>
      </c>
      <c r="O2127">
        <v>1</v>
      </c>
      <c r="P2127">
        <v>1</v>
      </c>
      <c r="Q2127">
        <v>1</v>
      </c>
      <c r="R2127">
        <v>1</v>
      </c>
      <c r="S2127">
        <v>1</v>
      </c>
    </row>
    <row r="2128" spans="1:19" x14ac:dyDescent="0.25">
      <c r="A2128" s="1">
        <v>0.76594284722222217</v>
      </c>
      <c r="B2128" s="145" t="s">
        <v>165</v>
      </c>
      <c r="C2128">
        <v>2127</v>
      </c>
      <c r="D2128">
        <v>1</v>
      </c>
      <c r="E2128">
        <v>1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1</v>
      </c>
      <c r="N2128">
        <v>1</v>
      </c>
      <c r="O2128">
        <v>1</v>
      </c>
      <c r="P2128">
        <v>1</v>
      </c>
      <c r="Q2128">
        <v>1</v>
      </c>
      <c r="R2128">
        <v>1</v>
      </c>
      <c r="S2128">
        <v>1</v>
      </c>
    </row>
    <row r="2129" spans="1:19" x14ac:dyDescent="0.25">
      <c r="A2129" s="1">
        <v>0.76594296296296294</v>
      </c>
      <c r="B2129" s="145" t="s">
        <v>165</v>
      </c>
      <c r="C2129">
        <v>2128</v>
      </c>
      <c r="D2129">
        <v>1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</row>
    <row r="2130" spans="1:19" x14ac:dyDescent="0.25">
      <c r="A2130" s="1">
        <v>0.76594307870370371</v>
      </c>
      <c r="B2130" s="145" t="s">
        <v>165</v>
      </c>
      <c r="C2130">
        <v>2129</v>
      </c>
      <c r="D2130">
        <v>1</v>
      </c>
      <c r="E2130">
        <v>1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1</v>
      </c>
      <c r="M2130">
        <v>1</v>
      </c>
      <c r="N2130">
        <v>1</v>
      </c>
      <c r="O2130">
        <v>1</v>
      </c>
      <c r="P2130">
        <v>1</v>
      </c>
      <c r="Q2130">
        <v>1</v>
      </c>
      <c r="R2130">
        <v>1</v>
      </c>
      <c r="S2130">
        <v>1</v>
      </c>
    </row>
    <row r="2131" spans="1:19" x14ac:dyDescent="0.25">
      <c r="A2131" s="1">
        <v>0.76594319444444448</v>
      </c>
      <c r="B2131" s="145" t="s">
        <v>165</v>
      </c>
      <c r="C2131">
        <v>2130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1</v>
      </c>
      <c r="N2131">
        <v>1</v>
      </c>
      <c r="O2131">
        <v>1</v>
      </c>
      <c r="P2131">
        <v>1</v>
      </c>
      <c r="Q2131">
        <v>1</v>
      </c>
      <c r="R2131">
        <v>1</v>
      </c>
      <c r="S2131">
        <v>1</v>
      </c>
    </row>
    <row r="2132" spans="1:19" x14ac:dyDescent="0.25">
      <c r="A2132" s="1">
        <v>0.76594331018518513</v>
      </c>
      <c r="B2132" s="145" t="s">
        <v>165</v>
      </c>
      <c r="C2132">
        <v>2131</v>
      </c>
      <c r="D2132">
        <v>1</v>
      </c>
      <c r="E2132">
        <v>1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1</v>
      </c>
      <c r="N2132">
        <v>1</v>
      </c>
      <c r="O2132">
        <v>1</v>
      </c>
      <c r="P2132">
        <v>1</v>
      </c>
      <c r="Q2132">
        <v>1</v>
      </c>
      <c r="R2132">
        <v>1</v>
      </c>
      <c r="S2132">
        <v>1</v>
      </c>
    </row>
    <row r="2133" spans="1:19" x14ac:dyDescent="0.25">
      <c r="A2133" s="1">
        <v>0.7659434259259259</v>
      </c>
      <c r="B2133" s="145" t="s">
        <v>165</v>
      </c>
      <c r="C2133">
        <v>2132</v>
      </c>
      <c r="D2133">
        <v>1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1</v>
      </c>
      <c r="M2133">
        <v>1</v>
      </c>
      <c r="N2133">
        <v>1</v>
      </c>
      <c r="O2133">
        <v>1</v>
      </c>
      <c r="P2133">
        <v>1</v>
      </c>
      <c r="Q2133">
        <v>1</v>
      </c>
      <c r="R2133">
        <v>1</v>
      </c>
      <c r="S2133">
        <v>1</v>
      </c>
    </row>
    <row r="2134" spans="1:19" x14ac:dyDescent="0.25">
      <c r="A2134" s="1">
        <v>0.76594354166666667</v>
      </c>
      <c r="B2134" s="145" t="s">
        <v>165</v>
      </c>
      <c r="C2134">
        <v>2133</v>
      </c>
      <c r="D2134">
        <v>1</v>
      </c>
      <c r="E2134">
        <v>1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1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1</v>
      </c>
    </row>
    <row r="2135" spans="1:19" x14ac:dyDescent="0.25">
      <c r="A2135" s="1">
        <v>0.76594365740740744</v>
      </c>
      <c r="B2135" s="145" t="s">
        <v>165</v>
      </c>
      <c r="C2135">
        <v>2134</v>
      </c>
      <c r="D2135">
        <v>1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1</v>
      </c>
      <c r="M2135">
        <v>1</v>
      </c>
      <c r="N2135">
        <v>1</v>
      </c>
      <c r="O2135">
        <v>1</v>
      </c>
      <c r="P2135">
        <v>1</v>
      </c>
      <c r="Q2135">
        <v>1</v>
      </c>
      <c r="R2135">
        <v>1</v>
      </c>
      <c r="S2135">
        <v>1</v>
      </c>
    </row>
    <row r="2136" spans="1:19" x14ac:dyDescent="0.25">
      <c r="A2136" s="1">
        <v>0.7659437731481481</v>
      </c>
      <c r="B2136" s="145" t="s">
        <v>165</v>
      </c>
      <c r="C2136">
        <v>2135</v>
      </c>
      <c r="D2136">
        <v>1</v>
      </c>
      <c r="E2136">
        <v>1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1</v>
      </c>
      <c r="M2136">
        <v>1</v>
      </c>
      <c r="N2136">
        <v>1</v>
      </c>
      <c r="O2136">
        <v>1</v>
      </c>
      <c r="P2136">
        <v>1</v>
      </c>
      <c r="Q2136">
        <v>1</v>
      </c>
      <c r="R2136">
        <v>1</v>
      </c>
      <c r="S2136">
        <v>1</v>
      </c>
    </row>
    <row r="2137" spans="1:19" x14ac:dyDescent="0.25">
      <c r="A2137" s="1">
        <v>0.76594388888888887</v>
      </c>
      <c r="B2137" s="145" t="s">
        <v>165</v>
      </c>
      <c r="C2137">
        <v>2136</v>
      </c>
      <c r="D2137">
        <v>1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1</v>
      </c>
      <c r="N2137">
        <v>1</v>
      </c>
      <c r="O2137">
        <v>1</v>
      </c>
      <c r="P2137">
        <v>1</v>
      </c>
      <c r="Q2137">
        <v>1</v>
      </c>
      <c r="R2137">
        <v>1</v>
      </c>
      <c r="S2137">
        <v>1</v>
      </c>
    </row>
    <row r="2138" spans="1:19" x14ac:dyDescent="0.25">
      <c r="A2138" s="1">
        <v>0.76594400462962964</v>
      </c>
      <c r="B2138" s="145" t="s">
        <v>165</v>
      </c>
      <c r="C2138">
        <v>2137</v>
      </c>
      <c r="D2138">
        <v>1</v>
      </c>
      <c r="E2138">
        <v>1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1</v>
      </c>
      <c r="M2138">
        <v>1</v>
      </c>
      <c r="N2138">
        <v>1</v>
      </c>
      <c r="O2138">
        <v>1</v>
      </c>
      <c r="P2138">
        <v>1</v>
      </c>
      <c r="Q2138">
        <v>1</v>
      </c>
      <c r="R2138">
        <v>1</v>
      </c>
      <c r="S2138">
        <v>1</v>
      </c>
    </row>
    <row r="2139" spans="1:19" x14ac:dyDescent="0.25">
      <c r="A2139" s="1">
        <v>0.76594412037037041</v>
      </c>
      <c r="B2139" s="145" t="s">
        <v>165</v>
      </c>
      <c r="C2139">
        <v>2138</v>
      </c>
      <c r="D2139">
        <v>1</v>
      </c>
      <c r="E2139">
        <v>1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1</v>
      </c>
      <c r="N2139">
        <v>1</v>
      </c>
      <c r="O2139">
        <v>1</v>
      </c>
      <c r="P2139">
        <v>1</v>
      </c>
      <c r="Q2139">
        <v>1</v>
      </c>
      <c r="R2139">
        <v>1</v>
      </c>
      <c r="S2139">
        <v>1</v>
      </c>
    </row>
    <row r="2140" spans="1:19" x14ac:dyDescent="0.25">
      <c r="A2140" s="1">
        <v>0.76594423611111107</v>
      </c>
      <c r="B2140" s="145" t="s">
        <v>165</v>
      </c>
      <c r="C2140">
        <v>2139</v>
      </c>
      <c r="D2140">
        <v>1</v>
      </c>
      <c r="E2140">
        <v>1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1</v>
      </c>
      <c r="N2140">
        <v>1</v>
      </c>
      <c r="O2140">
        <v>1</v>
      </c>
      <c r="P2140">
        <v>1</v>
      </c>
      <c r="Q2140">
        <v>1</v>
      </c>
      <c r="R2140">
        <v>1</v>
      </c>
      <c r="S2140">
        <v>1</v>
      </c>
    </row>
    <row r="2141" spans="1:19" x14ac:dyDescent="0.25">
      <c r="A2141" s="1">
        <v>0.76594435185185183</v>
      </c>
      <c r="B2141" s="145" t="s">
        <v>165</v>
      </c>
      <c r="C2141">
        <v>2140</v>
      </c>
      <c r="D2141">
        <v>1</v>
      </c>
      <c r="E2141">
        <v>1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1</v>
      </c>
      <c r="N2141">
        <v>1</v>
      </c>
      <c r="O2141">
        <v>1</v>
      </c>
      <c r="P2141">
        <v>1</v>
      </c>
      <c r="Q2141">
        <v>1</v>
      </c>
      <c r="R2141">
        <v>1</v>
      </c>
      <c r="S2141">
        <v>1</v>
      </c>
    </row>
    <row r="2142" spans="1:19" x14ac:dyDescent="0.25">
      <c r="A2142" s="1">
        <v>0.7659444675925926</v>
      </c>
      <c r="B2142" s="145" t="s">
        <v>165</v>
      </c>
      <c r="C2142">
        <v>2141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1</v>
      </c>
      <c r="N2142">
        <v>1</v>
      </c>
      <c r="O2142">
        <v>1</v>
      </c>
      <c r="P2142">
        <v>1</v>
      </c>
      <c r="Q2142">
        <v>1</v>
      </c>
      <c r="R2142">
        <v>1</v>
      </c>
      <c r="S2142">
        <v>1</v>
      </c>
    </row>
    <row r="2143" spans="1:19" x14ac:dyDescent="0.25">
      <c r="A2143" s="1">
        <v>0.76594458333333337</v>
      </c>
      <c r="B2143" s="145" t="s">
        <v>165</v>
      </c>
      <c r="C2143">
        <v>2142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</row>
    <row r="2144" spans="1:19" x14ac:dyDescent="0.25">
      <c r="A2144" s="1">
        <v>0.76594469907407403</v>
      </c>
      <c r="B2144" s="145" t="s">
        <v>165</v>
      </c>
      <c r="C2144">
        <v>2143</v>
      </c>
      <c r="D2144">
        <v>1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1</v>
      </c>
      <c r="M2144">
        <v>1</v>
      </c>
      <c r="N2144">
        <v>1</v>
      </c>
      <c r="O2144">
        <v>1</v>
      </c>
      <c r="P2144">
        <v>1</v>
      </c>
      <c r="Q2144">
        <v>1</v>
      </c>
      <c r="R2144">
        <v>1</v>
      </c>
      <c r="S2144">
        <v>1</v>
      </c>
    </row>
    <row r="2145" spans="1:19" x14ac:dyDescent="0.25">
      <c r="A2145" s="1">
        <v>0.7659448148148148</v>
      </c>
      <c r="B2145" s="145" t="s">
        <v>165</v>
      </c>
      <c r="C2145">
        <v>2144</v>
      </c>
      <c r="D2145">
        <v>1</v>
      </c>
      <c r="E2145">
        <v>1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1</v>
      </c>
      <c r="M2145">
        <v>1</v>
      </c>
      <c r="N2145">
        <v>1</v>
      </c>
      <c r="O2145">
        <v>1</v>
      </c>
      <c r="P2145">
        <v>1</v>
      </c>
      <c r="Q2145">
        <v>1</v>
      </c>
      <c r="R2145">
        <v>1</v>
      </c>
      <c r="S2145">
        <v>1</v>
      </c>
    </row>
    <row r="2146" spans="1:19" x14ac:dyDescent="0.25">
      <c r="A2146" s="1">
        <v>0.76594493055555557</v>
      </c>
      <c r="B2146" s="145" t="s">
        <v>165</v>
      </c>
      <c r="C2146">
        <v>2145</v>
      </c>
      <c r="D2146">
        <v>1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1</v>
      </c>
      <c r="M2146">
        <v>1</v>
      </c>
      <c r="N2146">
        <v>1</v>
      </c>
      <c r="O2146">
        <v>1</v>
      </c>
      <c r="P2146">
        <v>1</v>
      </c>
      <c r="Q2146">
        <v>1</v>
      </c>
      <c r="R2146">
        <v>1</v>
      </c>
      <c r="S2146">
        <v>1</v>
      </c>
    </row>
    <row r="2147" spans="1:19" x14ac:dyDescent="0.25">
      <c r="A2147" s="1">
        <v>0.76594504629629634</v>
      </c>
      <c r="B2147" s="145" t="s">
        <v>165</v>
      </c>
      <c r="C2147">
        <v>2146</v>
      </c>
      <c r="D2147">
        <v>1</v>
      </c>
      <c r="E2147">
        <v>1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1</v>
      </c>
      <c r="M2147">
        <v>1</v>
      </c>
      <c r="N2147">
        <v>1</v>
      </c>
      <c r="O2147">
        <v>1</v>
      </c>
      <c r="P2147">
        <v>1</v>
      </c>
      <c r="Q2147">
        <v>1</v>
      </c>
      <c r="R2147">
        <v>1</v>
      </c>
      <c r="S2147">
        <v>1</v>
      </c>
    </row>
    <row r="2148" spans="1:19" x14ac:dyDescent="0.25">
      <c r="A2148" s="1">
        <v>0.765945162037037</v>
      </c>
      <c r="B2148" s="145" t="s">
        <v>165</v>
      </c>
      <c r="C2148">
        <v>2147</v>
      </c>
      <c r="D2148">
        <v>1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1</v>
      </c>
      <c r="M2148">
        <v>1</v>
      </c>
      <c r="N2148">
        <v>1</v>
      </c>
      <c r="O2148">
        <v>1</v>
      </c>
      <c r="P2148">
        <v>1</v>
      </c>
      <c r="Q2148">
        <v>1</v>
      </c>
      <c r="R2148">
        <v>1</v>
      </c>
      <c r="S2148">
        <v>1</v>
      </c>
    </row>
    <row r="2149" spans="1:19" x14ac:dyDescent="0.25">
      <c r="A2149" s="1">
        <v>0.76594527777777777</v>
      </c>
      <c r="B2149" s="145" t="s">
        <v>165</v>
      </c>
      <c r="C2149">
        <v>2148</v>
      </c>
      <c r="D2149">
        <v>1</v>
      </c>
      <c r="E2149">
        <v>1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1</v>
      </c>
      <c r="M2149">
        <v>1</v>
      </c>
      <c r="N2149">
        <v>1</v>
      </c>
      <c r="O2149">
        <v>1</v>
      </c>
      <c r="P2149">
        <v>1</v>
      </c>
      <c r="Q2149">
        <v>1</v>
      </c>
      <c r="R2149">
        <v>1</v>
      </c>
      <c r="S2149">
        <v>1</v>
      </c>
    </row>
    <row r="2150" spans="1:19" x14ac:dyDescent="0.25">
      <c r="A2150" s="1">
        <v>0.76594539351851854</v>
      </c>
      <c r="B2150" s="145" t="s">
        <v>165</v>
      </c>
      <c r="C2150">
        <v>2149</v>
      </c>
      <c r="D2150">
        <v>1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1</v>
      </c>
      <c r="M2150">
        <v>1</v>
      </c>
      <c r="N2150">
        <v>1</v>
      </c>
      <c r="O2150">
        <v>1</v>
      </c>
      <c r="P2150">
        <v>1</v>
      </c>
      <c r="Q2150">
        <v>1</v>
      </c>
      <c r="R2150">
        <v>1</v>
      </c>
      <c r="S2150">
        <v>1</v>
      </c>
    </row>
    <row r="2151" spans="1:19" x14ac:dyDescent="0.25">
      <c r="A2151" s="1">
        <v>0.76594562499999996</v>
      </c>
      <c r="B2151" s="145" t="s">
        <v>165</v>
      </c>
      <c r="C2151">
        <v>2150</v>
      </c>
      <c r="D2151">
        <v>1</v>
      </c>
      <c r="E2151">
        <v>1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1</v>
      </c>
      <c r="N2151">
        <v>1</v>
      </c>
      <c r="O2151">
        <v>1</v>
      </c>
      <c r="P2151">
        <v>1</v>
      </c>
      <c r="Q2151">
        <v>1</v>
      </c>
      <c r="R2151">
        <v>1</v>
      </c>
      <c r="S2151">
        <v>1</v>
      </c>
    </row>
    <row r="2152" spans="1:19" x14ac:dyDescent="0.25">
      <c r="A2152" s="1">
        <v>0.76594574074074073</v>
      </c>
      <c r="B2152" s="145" t="s">
        <v>165</v>
      </c>
      <c r="C2152">
        <v>2151</v>
      </c>
      <c r="D2152">
        <v>1</v>
      </c>
      <c r="E2152">
        <v>1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1</v>
      </c>
      <c r="M2152">
        <v>1</v>
      </c>
      <c r="N2152">
        <v>1</v>
      </c>
      <c r="O2152">
        <v>1</v>
      </c>
      <c r="P2152">
        <v>1</v>
      </c>
      <c r="Q2152">
        <v>1</v>
      </c>
      <c r="R2152">
        <v>1</v>
      </c>
      <c r="S2152">
        <v>1</v>
      </c>
    </row>
    <row r="2153" spans="1:19" x14ac:dyDescent="0.25">
      <c r="A2153" s="1">
        <v>0.7659458564814815</v>
      </c>
      <c r="B2153" s="145" t="s">
        <v>165</v>
      </c>
      <c r="C2153">
        <v>2152</v>
      </c>
      <c r="D2153">
        <v>1</v>
      </c>
      <c r="E2153">
        <v>1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1</v>
      </c>
      <c r="M2153">
        <v>1</v>
      </c>
      <c r="N2153">
        <v>1</v>
      </c>
      <c r="O2153">
        <v>1</v>
      </c>
      <c r="P2153">
        <v>1</v>
      </c>
      <c r="Q2153">
        <v>1</v>
      </c>
      <c r="R2153">
        <v>1</v>
      </c>
      <c r="S2153">
        <v>1</v>
      </c>
    </row>
    <row r="2154" spans="1:19" x14ac:dyDescent="0.25">
      <c r="A2154" s="1">
        <v>0.76594597222222227</v>
      </c>
      <c r="B2154" s="145" t="s">
        <v>165</v>
      </c>
      <c r="C2154">
        <v>2153</v>
      </c>
      <c r="D2154">
        <v>1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1</v>
      </c>
      <c r="N2154">
        <v>1</v>
      </c>
      <c r="O2154">
        <v>1</v>
      </c>
      <c r="P2154">
        <v>1</v>
      </c>
      <c r="Q2154">
        <v>1</v>
      </c>
      <c r="R2154">
        <v>1</v>
      </c>
      <c r="S2154">
        <v>1</v>
      </c>
    </row>
    <row r="2155" spans="1:19" x14ac:dyDescent="0.25">
      <c r="A2155" s="1">
        <v>0.76594608796296293</v>
      </c>
      <c r="B2155" s="145" t="s">
        <v>165</v>
      </c>
      <c r="C2155">
        <v>2154</v>
      </c>
      <c r="D2155">
        <v>1</v>
      </c>
      <c r="E2155">
        <v>1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1</v>
      </c>
      <c r="M2155">
        <v>1</v>
      </c>
      <c r="N2155">
        <v>1</v>
      </c>
      <c r="O2155">
        <v>1</v>
      </c>
      <c r="P2155">
        <v>1</v>
      </c>
      <c r="Q2155">
        <v>1</v>
      </c>
      <c r="R2155">
        <v>1</v>
      </c>
      <c r="S2155">
        <v>1</v>
      </c>
    </row>
    <row r="2156" spans="1:19" x14ac:dyDescent="0.25">
      <c r="A2156" s="1">
        <v>0.7659462037037037</v>
      </c>
      <c r="B2156" s="145" t="s">
        <v>165</v>
      </c>
      <c r="C2156">
        <v>2155</v>
      </c>
      <c r="D2156">
        <v>1</v>
      </c>
      <c r="E2156">
        <v>1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1</v>
      </c>
      <c r="M2156">
        <v>1</v>
      </c>
      <c r="N2156">
        <v>1</v>
      </c>
      <c r="O2156">
        <v>1</v>
      </c>
      <c r="P2156">
        <v>1</v>
      </c>
      <c r="Q2156">
        <v>1</v>
      </c>
      <c r="R2156">
        <v>1</v>
      </c>
      <c r="S2156">
        <v>1</v>
      </c>
    </row>
    <row r="2157" spans="1:19" x14ac:dyDescent="0.25">
      <c r="A2157" s="1">
        <v>0.76594631944444447</v>
      </c>
      <c r="B2157" s="145" t="s">
        <v>165</v>
      </c>
      <c r="C2157">
        <v>2156</v>
      </c>
      <c r="D2157">
        <v>1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1</v>
      </c>
      <c r="N2157">
        <v>1</v>
      </c>
      <c r="O2157">
        <v>1</v>
      </c>
      <c r="P2157">
        <v>1</v>
      </c>
      <c r="Q2157">
        <v>1</v>
      </c>
      <c r="R2157">
        <v>1</v>
      </c>
      <c r="S2157">
        <v>1</v>
      </c>
    </row>
    <row r="2158" spans="1:19" x14ac:dyDescent="0.25">
      <c r="A2158" s="1">
        <v>0.76594643518518524</v>
      </c>
      <c r="B2158" s="145" t="s">
        <v>165</v>
      </c>
      <c r="C2158">
        <v>2157</v>
      </c>
      <c r="D2158">
        <v>1</v>
      </c>
      <c r="E2158">
        <v>1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1</v>
      </c>
      <c r="M2158">
        <v>1</v>
      </c>
      <c r="N2158">
        <v>1</v>
      </c>
      <c r="O2158">
        <v>1</v>
      </c>
      <c r="P2158">
        <v>1</v>
      </c>
      <c r="Q2158">
        <v>1</v>
      </c>
      <c r="R2158">
        <v>1</v>
      </c>
      <c r="S2158">
        <v>1</v>
      </c>
    </row>
    <row r="2159" spans="1:19" x14ac:dyDescent="0.25">
      <c r="A2159" s="1">
        <v>0.7659465509259259</v>
      </c>
      <c r="B2159" s="145" t="s">
        <v>165</v>
      </c>
      <c r="C2159">
        <v>2158</v>
      </c>
      <c r="D2159">
        <v>1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</v>
      </c>
      <c r="N2159">
        <v>1</v>
      </c>
      <c r="O2159">
        <v>1</v>
      </c>
      <c r="P2159">
        <v>1</v>
      </c>
      <c r="Q2159">
        <v>1</v>
      </c>
      <c r="R2159">
        <v>1</v>
      </c>
      <c r="S2159">
        <v>1</v>
      </c>
    </row>
    <row r="2160" spans="1:19" x14ac:dyDescent="0.25">
      <c r="A2160" s="1">
        <v>0.76594665509259263</v>
      </c>
      <c r="B2160" s="145" t="s">
        <v>165</v>
      </c>
      <c r="C2160">
        <v>2159</v>
      </c>
      <c r="D2160">
        <v>1</v>
      </c>
      <c r="E2160">
        <v>1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1</v>
      </c>
      <c r="M2160">
        <v>1</v>
      </c>
      <c r="N2160">
        <v>1</v>
      </c>
      <c r="O2160">
        <v>1</v>
      </c>
      <c r="P2160">
        <v>1</v>
      </c>
      <c r="Q2160">
        <v>1</v>
      </c>
      <c r="R2160">
        <v>1</v>
      </c>
      <c r="S2160">
        <v>1</v>
      </c>
    </row>
    <row r="2161" spans="1:19" x14ac:dyDescent="0.25">
      <c r="A2161" s="1">
        <v>0.76594677083333329</v>
      </c>
      <c r="B2161" s="145" t="s">
        <v>165</v>
      </c>
      <c r="C2161">
        <v>2160</v>
      </c>
      <c r="D2161">
        <v>1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1</v>
      </c>
      <c r="N2161">
        <v>1</v>
      </c>
      <c r="O2161">
        <v>1</v>
      </c>
      <c r="P2161">
        <v>1</v>
      </c>
      <c r="Q2161">
        <v>1</v>
      </c>
      <c r="R2161">
        <v>1</v>
      </c>
      <c r="S2161">
        <v>1</v>
      </c>
    </row>
    <row r="2162" spans="1:19" x14ac:dyDescent="0.25">
      <c r="A2162" s="1">
        <v>0.76594688657407406</v>
      </c>
      <c r="B2162" s="145" t="s">
        <v>165</v>
      </c>
      <c r="C2162">
        <v>2161</v>
      </c>
      <c r="D2162">
        <v>1</v>
      </c>
      <c r="E2162">
        <v>1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1</v>
      </c>
      <c r="M2162">
        <v>1</v>
      </c>
      <c r="N2162">
        <v>1</v>
      </c>
      <c r="O2162">
        <v>1</v>
      </c>
      <c r="P2162">
        <v>1</v>
      </c>
      <c r="Q2162">
        <v>1</v>
      </c>
      <c r="R2162">
        <v>1</v>
      </c>
      <c r="S2162">
        <v>1</v>
      </c>
    </row>
    <row r="2163" spans="1:19" x14ac:dyDescent="0.25">
      <c r="A2163" s="1">
        <v>0.76594700231481483</v>
      </c>
      <c r="B2163" s="145" t="s">
        <v>165</v>
      </c>
      <c r="C2163">
        <v>2162</v>
      </c>
      <c r="D2163">
        <v>1</v>
      </c>
      <c r="E2163">
        <v>1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1</v>
      </c>
      <c r="O2163">
        <v>1</v>
      </c>
      <c r="P2163">
        <v>1</v>
      </c>
      <c r="Q2163">
        <v>1</v>
      </c>
      <c r="R2163">
        <v>1</v>
      </c>
      <c r="S2163">
        <v>1</v>
      </c>
    </row>
    <row r="2164" spans="1:19" x14ac:dyDescent="0.25">
      <c r="A2164" s="1">
        <v>0.7659471180555556</v>
      </c>
      <c r="B2164" s="145" t="s">
        <v>165</v>
      </c>
      <c r="C2164">
        <v>2163</v>
      </c>
      <c r="D2164">
        <v>1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1</v>
      </c>
      <c r="O2164">
        <v>1</v>
      </c>
      <c r="P2164">
        <v>1</v>
      </c>
      <c r="Q2164">
        <v>1</v>
      </c>
      <c r="R2164">
        <v>1</v>
      </c>
      <c r="S2164">
        <v>1</v>
      </c>
    </row>
    <row r="2165" spans="1:19" x14ac:dyDescent="0.25">
      <c r="A2165" s="1">
        <v>0.76594723379629626</v>
      </c>
      <c r="B2165" s="145" t="s">
        <v>165</v>
      </c>
      <c r="C2165">
        <v>2164</v>
      </c>
      <c r="D2165">
        <v>1</v>
      </c>
      <c r="E2165">
        <v>1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1</v>
      </c>
      <c r="M2165">
        <v>1</v>
      </c>
      <c r="N2165">
        <v>1</v>
      </c>
      <c r="O2165">
        <v>1</v>
      </c>
      <c r="P2165">
        <v>1</v>
      </c>
      <c r="Q2165">
        <v>1</v>
      </c>
      <c r="R2165">
        <v>1</v>
      </c>
      <c r="S2165">
        <v>1</v>
      </c>
    </row>
    <row r="2166" spans="1:19" x14ac:dyDescent="0.25">
      <c r="A2166" s="1">
        <v>0.76594734953703703</v>
      </c>
      <c r="B2166" s="145" t="s">
        <v>165</v>
      </c>
      <c r="C2166">
        <v>2165</v>
      </c>
      <c r="D2166">
        <v>1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1</v>
      </c>
      <c r="M2166">
        <v>1</v>
      </c>
      <c r="N2166">
        <v>1</v>
      </c>
      <c r="O2166">
        <v>1</v>
      </c>
      <c r="P2166">
        <v>1</v>
      </c>
      <c r="Q2166">
        <v>1</v>
      </c>
      <c r="R2166">
        <v>1</v>
      </c>
      <c r="S2166">
        <v>1</v>
      </c>
    </row>
    <row r="2167" spans="1:19" x14ac:dyDescent="0.25">
      <c r="A2167" s="1">
        <v>0.76594746527777779</v>
      </c>
      <c r="B2167" s="145" t="s">
        <v>165</v>
      </c>
      <c r="C2167">
        <v>2166</v>
      </c>
      <c r="D2167">
        <v>1</v>
      </c>
      <c r="E2167">
        <v>1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1</v>
      </c>
      <c r="N2167">
        <v>1</v>
      </c>
      <c r="O2167">
        <v>1</v>
      </c>
      <c r="P2167">
        <v>1</v>
      </c>
      <c r="Q2167">
        <v>1</v>
      </c>
      <c r="R2167">
        <v>1</v>
      </c>
      <c r="S2167">
        <v>1</v>
      </c>
    </row>
    <row r="2168" spans="1:19" x14ac:dyDescent="0.25">
      <c r="A2168" s="1">
        <v>0.76594758101851856</v>
      </c>
      <c r="B2168" s="145" t="s">
        <v>165</v>
      </c>
      <c r="C2168">
        <v>2167</v>
      </c>
      <c r="D2168">
        <v>1</v>
      </c>
      <c r="E2168">
        <v>1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1</v>
      </c>
      <c r="N2168">
        <v>1</v>
      </c>
      <c r="O2168">
        <v>1</v>
      </c>
      <c r="P2168">
        <v>1</v>
      </c>
      <c r="Q2168">
        <v>1</v>
      </c>
      <c r="R2168">
        <v>1</v>
      </c>
      <c r="S2168">
        <v>1</v>
      </c>
    </row>
    <row r="2169" spans="1:19" x14ac:dyDescent="0.25">
      <c r="A2169" s="1">
        <v>0.76594769675925922</v>
      </c>
      <c r="B2169" s="145" t="s">
        <v>165</v>
      </c>
      <c r="C2169">
        <v>2168</v>
      </c>
      <c r="D2169">
        <v>1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1</v>
      </c>
      <c r="N2169">
        <v>1</v>
      </c>
      <c r="O2169">
        <v>1</v>
      </c>
      <c r="P2169">
        <v>1</v>
      </c>
      <c r="Q2169">
        <v>1</v>
      </c>
      <c r="R2169">
        <v>1</v>
      </c>
      <c r="S2169">
        <v>1</v>
      </c>
    </row>
    <row r="2170" spans="1:19" x14ac:dyDescent="0.25">
      <c r="A2170" s="1">
        <v>0.76594781249999999</v>
      </c>
      <c r="B2170" s="145" t="s">
        <v>165</v>
      </c>
      <c r="C2170">
        <v>2169</v>
      </c>
      <c r="D2170">
        <v>1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1</v>
      </c>
      <c r="P2170">
        <v>1</v>
      </c>
      <c r="Q2170">
        <v>1</v>
      </c>
      <c r="R2170">
        <v>1</v>
      </c>
      <c r="S2170">
        <v>1</v>
      </c>
    </row>
    <row r="2171" spans="1:19" x14ac:dyDescent="0.25">
      <c r="A2171" s="1">
        <v>0.76594792824074076</v>
      </c>
      <c r="B2171" s="145" t="s">
        <v>165</v>
      </c>
      <c r="C2171">
        <v>2170</v>
      </c>
      <c r="D2171">
        <v>1</v>
      </c>
      <c r="E2171">
        <v>1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1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</row>
    <row r="2172" spans="1:19" x14ac:dyDescent="0.25">
      <c r="A2172" s="1">
        <v>0.76594804398148153</v>
      </c>
      <c r="B2172" s="145" t="s">
        <v>165</v>
      </c>
      <c r="C2172">
        <v>2171</v>
      </c>
      <c r="D2172">
        <v>1</v>
      </c>
      <c r="E2172">
        <v>1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1</v>
      </c>
      <c r="N2172">
        <v>1</v>
      </c>
      <c r="O2172">
        <v>1</v>
      </c>
      <c r="P2172">
        <v>1</v>
      </c>
      <c r="Q2172">
        <v>1</v>
      </c>
      <c r="R2172">
        <v>1</v>
      </c>
      <c r="S2172">
        <v>1</v>
      </c>
    </row>
    <row r="2173" spans="1:19" x14ac:dyDescent="0.25">
      <c r="A2173" s="1">
        <v>0.76594815972222219</v>
      </c>
      <c r="B2173" s="145" t="s">
        <v>165</v>
      </c>
      <c r="C2173">
        <v>2172</v>
      </c>
      <c r="D2173">
        <v>1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1</v>
      </c>
      <c r="M2173">
        <v>1</v>
      </c>
      <c r="N2173">
        <v>1</v>
      </c>
      <c r="O2173">
        <v>1</v>
      </c>
      <c r="P2173">
        <v>1</v>
      </c>
      <c r="Q2173">
        <v>1</v>
      </c>
      <c r="R2173">
        <v>1</v>
      </c>
      <c r="S2173">
        <v>1</v>
      </c>
    </row>
    <row r="2174" spans="1:19" x14ac:dyDescent="0.25">
      <c r="A2174" s="1">
        <v>0.76594827546296296</v>
      </c>
      <c r="B2174" s="145" t="s">
        <v>165</v>
      </c>
      <c r="C2174">
        <v>2173</v>
      </c>
      <c r="D2174">
        <v>1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1</v>
      </c>
      <c r="N2174">
        <v>1</v>
      </c>
      <c r="O2174">
        <v>1</v>
      </c>
      <c r="P2174">
        <v>1</v>
      </c>
      <c r="Q2174">
        <v>1</v>
      </c>
      <c r="R2174">
        <v>1</v>
      </c>
      <c r="S2174">
        <v>1</v>
      </c>
    </row>
    <row r="2175" spans="1:19" x14ac:dyDescent="0.25">
      <c r="A2175" s="1">
        <v>0.76594839120370373</v>
      </c>
      <c r="B2175" s="145" t="s">
        <v>165</v>
      </c>
      <c r="C2175">
        <v>2174</v>
      </c>
      <c r="D2175">
        <v>1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1</v>
      </c>
      <c r="O2175">
        <v>1</v>
      </c>
      <c r="P2175">
        <v>1</v>
      </c>
      <c r="Q2175">
        <v>1</v>
      </c>
      <c r="R2175">
        <v>1</v>
      </c>
      <c r="S2175">
        <v>1</v>
      </c>
    </row>
    <row r="2176" spans="1:19" x14ac:dyDescent="0.25">
      <c r="A2176" s="1">
        <v>0.7659485069444445</v>
      </c>
      <c r="B2176" s="145" t="s">
        <v>165</v>
      </c>
      <c r="C2176">
        <v>2175</v>
      </c>
      <c r="D2176">
        <v>1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1</v>
      </c>
      <c r="M2176">
        <v>1</v>
      </c>
      <c r="N2176">
        <v>1</v>
      </c>
      <c r="O2176">
        <v>1</v>
      </c>
      <c r="P2176">
        <v>1</v>
      </c>
      <c r="Q2176">
        <v>1</v>
      </c>
      <c r="R2176">
        <v>1</v>
      </c>
      <c r="S2176">
        <v>1</v>
      </c>
    </row>
    <row r="2177" spans="1:19" x14ac:dyDescent="0.25">
      <c r="A2177" s="1">
        <v>0.76594862268518515</v>
      </c>
      <c r="B2177" s="145" t="s">
        <v>165</v>
      </c>
      <c r="C2177">
        <v>2176</v>
      </c>
      <c r="D2177">
        <v>1</v>
      </c>
      <c r="E2177">
        <v>1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1</v>
      </c>
      <c r="N2177">
        <v>1</v>
      </c>
      <c r="O2177">
        <v>1</v>
      </c>
      <c r="P2177">
        <v>1</v>
      </c>
      <c r="Q2177">
        <v>1</v>
      </c>
      <c r="R2177">
        <v>1</v>
      </c>
      <c r="S2177">
        <v>1</v>
      </c>
    </row>
    <row r="2178" spans="1:19" x14ac:dyDescent="0.25">
      <c r="A2178" s="1">
        <v>0.76594873842592592</v>
      </c>
      <c r="B2178" s="145" t="s">
        <v>2</v>
      </c>
      <c r="C2178">
        <v>2177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1</v>
      </c>
      <c r="M2178">
        <v>1</v>
      </c>
      <c r="N2178">
        <v>1</v>
      </c>
      <c r="O2178">
        <v>1</v>
      </c>
      <c r="P2178">
        <v>1</v>
      </c>
      <c r="Q2178">
        <v>1</v>
      </c>
      <c r="R2178">
        <v>1</v>
      </c>
      <c r="S2178">
        <v>1</v>
      </c>
    </row>
    <row r="2179" spans="1:19" x14ac:dyDescent="0.25">
      <c r="A2179" s="1">
        <v>0.76594885416666669</v>
      </c>
      <c r="B2179" s="145" t="s">
        <v>165</v>
      </c>
      <c r="C2179">
        <v>2178</v>
      </c>
      <c r="D2179">
        <v>1</v>
      </c>
      <c r="E2179">
        <v>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1</v>
      </c>
      <c r="N2179">
        <v>1</v>
      </c>
      <c r="O2179">
        <v>1</v>
      </c>
      <c r="P2179">
        <v>1</v>
      </c>
      <c r="Q2179">
        <v>1</v>
      </c>
      <c r="R2179">
        <v>1</v>
      </c>
      <c r="S2179">
        <v>1</v>
      </c>
    </row>
    <row r="2180" spans="1:19" x14ac:dyDescent="0.25">
      <c r="A2180" s="1">
        <v>0.76594896990740746</v>
      </c>
      <c r="B2180" s="145" t="s">
        <v>165</v>
      </c>
      <c r="C2180">
        <v>2179</v>
      </c>
      <c r="D2180">
        <v>1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1</v>
      </c>
      <c r="M2180">
        <v>1</v>
      </c>
      <c r="N2180">
        <v>1</v>
      </c>
      <c r="O2180">
        <v>1</v>
      </c>
      <c r="P2180">
        <v>1</v>
      </c>
      <c r="Q2180">
        <v>1</v>
      </c>
      <c r="R2180">
        <v>1</v>
      </c>
      <c r="S2180">
        <v>1</v>
      </c>
    </row>
    <row r="2181" spans="1:19" x14ac:dyDescent="0.25">
      <c r="A2181" s="1">
        <v>0.76594908564814812</v>
      </c>
      <c r="B2181" s="145" t="s">
        <v>165</v>
      </c>
      <c r="C2181">
        <v>2180</v>
      </c>
      <c r="D2181">
        <v>1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1</v>
      </c>
      <c r="N2181">
        <v>1</v>
      </c>
      <c r="O2181">
        <v>1</v>
      </c>
      <c r="P2181">
        <v>1</v>
      </c>
      <c r="Q2181">
        <v>1</v>
      </c>
      <c r="R2181">
        <v>1</v>
      </c>
      <c r="S2181">
        <v>1</v>
      </c>
    </row>
    <row r="2182" spans="1:19" x14ac:dyDescent="0.25">
      <c r="A2182" s="1">
        <v>0.76594920138888889</v>
      </c>
      <c r="B2182" s="145" t="s">
        <v>165</v>
      </c>
      <c r="C2182">
        <v>2181</v>
      </c>
      <c r="D2182">
        <v>1</v>
      </c>
      <c r="E2182">
        <v>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1</v>
      </c>
      <c r="O2182">
        <v>1</v>
      </c>
      <c r="P2182">
        <v>1</v>
      </c>
      <c r="Q2182">
        <v>1</v>
      </c>
      <c r="R2182">
        <v>1</v>
      </c>
      <c r="S2182">
        <v>1</v>
      </c>
    </row>
    <row r="2183" spans="1:19" x14ac:dyDescent="0.25">
      <c r="A2183" s="1">
        <v>0.76594931712962966</v>
      </c>
      <c r="B2183" s="145" t="s">
        <v>165</v>
      </c>
      <c r="C2183">
        <v>2182</v>
      </c>
      <c r="D2183">
        <v>1</v>
      </c>
      <c r="E2183">
        <v>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1</v>
      </c>
      <c r="M2183">
        <v>1</v>
      </c>
      <c r="N2183">
        <v>1</v>
      </c>
      <c r="O2183">
        <v>1</v>
      </c>
      <c r="P2183">
        <v>1</v>
      </c>
      <c r="Q2183">
        <v>1</v>
      </c>
      <c r="R2183">
        <v>1</v>
      </c>
      <c r="S2183">
        <v>1</v>
      </c>
    </row>
    <row r="2184" spans="1:19" x14ac:dyDescent="0.25">
      <c r="A2184" s="1">
        <v>0.76594943287037032</v>
      </c>
      <c r="B2184" s="145" t="s">
        <v>2</v>
      </c>
      <c r="C2184">
        <v>2183</v>
      </c>
      <c r="D2184">
        <v>0</v>
      </c>
      <c r="E2184">
        <v>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1</v>
      </c>
      <c r="M2184">
        <v>1</v>
      </c>
      <c r="N2184">
        <v>1</v>
      </c>
      <c r="O2184">
        <v>1</v>
      </c>
      <c r="P2184">
        <v>1</v>
      </c>
      <c r="Q2184">
        <v>1</v>
      </c>
      <c r="R2184">
        <v>1</v>
      </c>
      <c r="S2184">
        <v>1</v>
      </c>
    </row>
    <row r="2185" spans="1:19" x14ac:dyDescent="0.25">
      <c r="A2185" s="1">
        <v>0.76594954861111109</v>
      </c>
      <c r="B2185" s="145" t="s">
        <v>165</v>
      </c>
      <c r="C2185">
        <v>2184</v>
      </c>
      <c r="D2185">
        <v>1</v>
      </c>
      <c r="E2185">
        <v>1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1</v>
      </c>
      <c r="N2185">
        <v>1</v>
      </c>
      <c r="O2185">
        <v>1</v>
      </c>
      <c r="P2185">
        <v>1</v>
      </c>
      <c r="Q2185">
        <v>1</v>
      </c>
      <c r="R2185">
        <v>1</v>
      </c>
      <c r="S2185">
        <v>1</v>
      </c>
    </row>
    <row r="2186" spans="1:19" x14ac:dyDescent="0.25">
      <c r="A2186" s="1">
        <v>0.76594966435185186</v>
      </c>
      <c r="B2186" s="145" t="s">
        <v>165</v>
      </c>
      <c r="C2186">
        <v>2185</v>
      </c>
      <c r="D2186">
        <v>1</v>
      </c>
      <c r="E2186">
        <v>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1</v>
      </c>
      <c r="N2186">
        <v>1</v>
      </c>
      <c r="O2186">
        <v>1</v>
      </c>
      <c r="P2186">
        <v>1</v>
      </c>
      <c r="Q2186">
        <v>1</v>
      </c>
      <c r="R2186">
        <v>1</v>
      </c>
      <c r="S2186">
        <v>1</v>
      </c>
    </row>
    <row r="2187" spans="1:19" x14ac:dyDescent="0.25">
      <c r="A2187" s="1">
        <v>0.76594978009259262</v>
      </c>
      <c r="B2187" s="145" t="s">
        <v>165</v>
      </c>
      <c r="C2187">
        <v>2186</v>
      </c>
      <c r="D2187">
        <v>1</v>
      </c>
      <c r="E2187">
        <v>1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1</v>
      </c>
      <c r="N2187">
        <v>1</v>
      </c>
      <c r="O2187">
        <v>1</v>
      </c>
      <c r="P2187">
        <v>1</v>
      </c>
      <c r="Q2187">
        <v>1</v>
      </c>
      <c r="R2187">
        <v>1</v>
      </c>
      <c r="S2187">
        <v>1</v>
      </c>
    </row>
    <row r="2188" spans="1:19" x14ac:dyDescent="0.25">
      <c r="A2188" s="1">
        <v>0.76594989583333328</v>
      </c>
      <c r="B2188" s="145" t="s">
        <v>165</v>
      </c>
      <c r="C2188">
        <v>2187</v>
      </c>
      <c r="D2188">
        <v>1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1</v>
      </c>
      <c r="N2188">
        <v>1</v>
      </c>
      <c r="O2188">
        <v>1</v>
      </c>
      <c r="P2188">
        <v>1</v>
      </c>
      <c r="Q2188">
        <v>1</v>
      </c>
      <c r="R2188">
        <v>1</v>
      </c>
      <c r="S2188">
        <v>1</v>
      </c>
    </row>
    <row r="2189" spans="1:19" x14ac:dyDescent="0.25">
      <c r="A2189" s="1">
        <v>0.76595001157407405</v>
      </c>
      <c r="B2189" s="145" t="s">
        <v>165</v>
      </c>
      <c r="C2189">
        <v>2188</v>
      </c>
      <c r="D2189">
        <v>1</v>
      </c>
      <c r="E2189">
        <v>1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1</v>
      </c>
      <c r="N2189">
        <v>1</v>
      </c>
      <c r="O2189">
        <v>1</v>
      </c>
      <c r="P2189">
        <v>1</v>
      </c>
      <c r="Q2189">
        <v>1</v>
      </c>
      <c r="R2189">
        <v>1</v>
      </c>
      <c r="S2189">
        <v>1</v>
      </c>
    </row>
    <row r="2190" spans="1:19" x14ac:dyDescent="0.25">
      <c r="A2190" s="1">
        <v>0.76595012731481482</v>
      </c>
      <c r="B2190" s="145" t="s">
        <v>2</v>
      </c>
      <c r="C2190">
        <v>2189</v>
      </c>
      <c r="D2190">
        <v>0</v>
      </c>
      <c r="E2190">
        <v>1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1</v>
      </c>
      <c r="N2190">
        <v>1</v>
      </c>
      <c r="O2190">
        <v>1</v>
      </c>
      <c r="P2190">
        <v>1</v>
      </c>
      <c r="Q2190">
        <v>1</v>
      </c>
      <c r="R2190">
        <v>1</v>
      </c>
      <c r="S2190">
        <v>1</v>
      </c>
    </row>
    <row r="2191" spans="1:19" x14ac:dyDescent="0.25">
      <c r="A2191" s="1">
        <v>0.76595024305555559</v>
      </c>
      <c r="B2191" s="145" t="s">
        <v>165</v>
      </c>
      <c r="C2191">
        <v>2190</v>
      </c>
      <c r="D2191">
        <v>1</v>
      </c>
      <c r="E2191">
        <v>1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</v>
      </c>
      <c r="N2191">
        <v>1</v>
      </c>
      <c r="O2191">
        <v>1</v>
      </c>
      <c r="P2191">
        <v>1</v>
      </c>
      <c r="Q2191">
        <v>1</v>
      </c>
      <c r="R2191">
        <v>1</v>
      </c>
      <c r="S2191">
        <v>1</v>
      </c>
    </row>
    <row r="2192" spans="1:19" x14ac:dyDescent="0.25">
      <c r="A2192" s="1">
        <v>0.76595035879629625</v>
      </c>
      <c r="B2192" s="145" t="s">
        <v>165</v>
      </c>
      <c r="C2192">
        <v>2191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1</v>
      </c>
      <c r="M2192">
        <v>1</v>
      </c>
      <c r="N2192">
        <v>1</v>
      </c>
      <c r="O2192">
        <v>1</v>
      </c>
      <c r="P2192">
        <v>1</v>
      </c>
      <c r="Q2192">
        <v>1</v>
      </c>
      <c r="R2192">
        <v>1</v>
      </c>
      <c r="S2192">
        <v>1</v>
      </c>
    </row>
    <row r="2193" spans="1:19" x14ac:dyDescent="0.25">
      <c r="A2193" s="1">
        <v>0.76595047453703702</v>
      </c>
      <c r="B2193" s="145" t="s">
        <v>165</v>
      </c>
      <c r="C2193">
        <v>2192</v>
      </c>
      <c r="D2193">
        <v>1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1</v>
      </c>
      <c r="N2193">
        <v>1</v>
      </c>
      <c r="O2193">
        <v>1</v>
      </c>
      <c r="P2193">
        <v>1</v>
      </c>
      <c r="Q2193">
        <v>1</v>
      </c>
      <c r="R2193">
        <v>1</v>
      </c>
      <c r="S2193">
        <v>1</v>
      </c>
    </row>
    <row r="2194" spans="1:19" x14ac:dyDescent="0.25">
      <c r="A2194" s="1">
        <v>0.76595059027777779</v>
      </c>
      <c r="B2194" s="145" t="s">
        <v>165</v>
      </c>
      <c r="C2194">
        <v>2193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1</v>
      </c>
      <c r="N2194">
        <v>1</v>
      </c>
      <c r="O2194">
        <v>1</v>
      </c>
      <c r="P2194">
        <v>1</v>
      </c>
      <c r="Q2194">
        <v>1</v>
      </c>
      <c r="R2194">
        <v>1</v>
      </c>
      <c r="S2194">
        <v>1</v>
      </c>
    </row>
    <row r="2195" spans="1:19" x14ac:dyDescent="0.25">
      <c r="A2195" s="1">
        <v>0.76595070601851856</v>
      </c>
      <c r="B2195" s="145" t="s">
        <v>165</v>
      </c>
      <c r="C2195">
        <v>2194</v>
      </c>
      <c r="D2195">
        <v>1</v>
      </c>
      <c r="E2195">
        <v>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1</v>
      </c>
      <c r="N2195">
        <v>1</v>
      </c>
      <c r="O2195">
        <v>1</v>
      </c>
      <c r="P2195">
        <v>1</v>
      </c>
      <c r="Q2195">
        <v>1</v>
      </c>
      <c r="R2195">
        <v>1</v>
      </c>
      <c r="S2195">
        <v>1</v>
      </c>
    </row>
    <row r="2196" spans="1:19" x14ac:dyDescent="0.25">
      <c r="A2196" s="1">
        <v>0.76595082175925921</v>
      </c>
      <c r="B2196" s="145" t="s">
        <v>2</v>
      </c>
      <c r="C2196">
        <v>2195</v>
      </c>
      <c r="D2196">
        <v>0</v>
      </c>
      <c r="E2196">
        <v>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1</v>
      </c>
      <c r="N2196">
        <v>1</v>
      </c>
      <c r="O2196">
        <v>1</v>
      </c>
      <c r="P2196">
        <v>1</v>
      </c>
      <c r="Q2196">
        <v>1</v>
      </c>
      <c r="R2196">
        <v>1</v>
      </c>
      <c r="S2196">
        <v>1</v>
      </c>
    </row>
    <row r="2197" spans="1:19" x14ac:dyDescent="0.25">
      <c r="A2197" s="1">
        <v>0.76595093749999998</v>
      </c>
      <c r="B2197" s="145" t="s">
        <v>165</v>
      </c>
      <c r="C2197">
        <v>2196</v>
      </c>
      <c r="D2197">
        <v>1</v>
      </c>
      <c r="E2197">
        <v>1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1</v>
      </c>
      <c r="M2197">
        <v>1</v>
      </c>
      <c r="N2197">
        <v>1</v>
      </c>
      <c r="O2197">
        <v>1</v>
      </c>
      <c r="P2197">
        <v>1</v>
      </c>
      <c r="Q2197">
        <v>1</v>
      </c>
      <c r="R2197">
        <v>1</v>
      </c>
      <c r="S2197">
        <v>1</v>
      </c>
    </row>
    <row r="2198" spans="1:19" x14ac:dyDescent="0.25">
      <c r="A2198" s="1">
        <v>0.76595105324074075</v>
      </c>
      <c r="B2198" s="145" t="s">
        <v>165</v>
      </c>
      <c r="C2198">
        <v>2197</v>
      </c>
      <c r="D2198">
        <v>1</v>
      </c>
      <c r="E2198">
        <v>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1</v>
      </c>
      <c r="O2198">
        <v>1</v>
      </c>
      <c r="P2198">
        <v>1</v>
      </c>
      <c r="Q2198">
        <v>1</v>
      </c>
      <c r="R2198">
        <v>1</v>
      </c>
      <c r="S2198">
        <v>1</v>
      </c>
    </row>
    <row r="2199" spans="1:19" x14ac:dyDescent="0.25">
      <c r="A2199" s="1">
        <v>0.76595118055555556</v>
      </c>
      <c r="B2199" s="145" t="s">
        <v>165</v>
      </c>
      <c r="C2199">
        <v>2198</v>
      </c>
      <c r="D2199">
        <v>1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1</v>
      </c>
      <c r="M2199">
        <v>1</v>
      </c>
      <c r="N2199">
        <v>1</v>
      </c>
      <c r="O2199">
        <v>1</v>
      </c>
      <c r="P2199">
        <v>1</v>
      </c>
      <c r="Q2199">
        <v>1</v>
      </c>
      <c r="R2199">
        <v>1</v>
      </c>
      <c r="S2199">
        <v>1</v>
      </c>
    </row>
    <row r="2200" spans="1:19" x14ac:dyDescent="0.25">
      <c r="A2200" s="1">
        <v>0.76595128472222218</v>
      </c>
      <c r="B2200" s="145" t="s">
        <v>165</v>
      </c>
      <c r="C2200">
        <v>2199</v>
      </c>
      <c r="D2200">
        <v>1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1</v>
      </c>
      <c r="N2200">
        <v>1</v>
      </c>
      <c r="O2200">
        <v>1</v>
      </c>
      <c r="P2200">
        <v>1</v>
      </c>
      <c r="Q2200">
        <v>1</v>
      </c>
      <c r="R2200">
        <v>1</v>
      </c>
      <c r="S2200">
        <v>1</v>
      </c>
    </row>
    <row r="2201" spans="1:19" x14ac:dyDescent="0.25">
      <c r="A2201" s="1">
        <v>0.76595140046296295</v>
      </c>
      <c r="B2201" s="145" t="s">
        <v>165</v>
      </c>
      <c r="C2201">
        <v>2200</v>
      </c>
      <c r="D2201">
        <v>1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1</v>
      </c>
      <c r="N2201">
        <v>1</v>
      </c>
      <c r="O2201">
        <v>1</v>
      </c>
      <c r="P2201">
        <v>1</v>
      </c>
      <c r="Q2201">
        <v>1</v>
      </c>
      <c r="R2201">
        <v>1</v>
      </c>
      <c r="S2201">
        <v>1</v>
      </c>
    </row>
    <row r="2202" spans="1:19" x14ac:dyDescent="0.25">
      <c r="A2202" s="1">
        <v>0.76595151620370372</v>
      </c>
      <c r="B2202" s="145" t="s">
        <v>2</v>
      </c>
      <c r="C2202">
        <v>2201</v>
      </c>
      <c r="D2202">
        <v>0</v>
      </c>
      <c r="E2202">
        <v>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1</v>
      </c>
      <c r="N2202">
        <v>1</v>
      </c>
      <c r="O2202">
        <v>1</v>
      </c>
      <c r="P2202">
        <v>1</v>
      </c>
      <c r="Q2202">
        <v>1</v>
      </c>
      <c r="R2202">
        <v>1</v>
      </c>
      <c r="S2202">
        <v>1</v>
      </c>
    </row>
    <row r="2203" spans="1:19" x14ac:dyDescent="0.25">
      <c r="A2203" s="1">
        <v>0.76595163194444449</v>
      </c>
      <c r="B2203" s="145" t="s">
        <v>165</v>
      </c>
      <c r="C2203">
        <v>2202</v>
      </c>
      <c r="D2203">
        <v>1</v>
      </c>
      <c r="E2203">
        <v>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1</v>
      </c>
      <c r="N2203">
        <v>1</v>
      </c>
      <c r="O2203">
        <v>1</v>
      </c>
      <c r="P2203">
        <v>1</v>
      </c>
      <c r="Q2203">
        <v>1</v>
      </c>
      <c r="R2203">
        <v>1</v>
      </c>
      <c r="S2203">
        <v>1</v>
      </c>
    </row>
    <row r="2204" spans="1:19" x14ac:dyDescent="0.25">
      <c r="A2204" s="1">
        <v>0.76595174768518515</v>
      </c>
      <c r="B2204" s="145" t="s">
        <v>165</v>
      </c>
      <c r="C2204">
        <v>2203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1</v>
      </c>
      <c r="N2204">
        <v>1</v>
      </c>
      <c r="O2204">
        <v>1</v>
      </c>
      <c r="P2204">
        <v>1</v>
      </c>
      <c r="Q2204">
        <v>1</v>
      </c>
      <c r="R2204">
        <v>1</v>
      </c>
      <c r="S2204">
        <v>1</v>
      </c>
    </row>
    <row r="2205" spans="1:19" x14ac:dyDescent="0.25">
      <c r="A2205" s="1">
        <v>0.76595186342592592</v>
      </c>
      <c r="B2205" s="145" t="s">
        <v>165</v>
      </c>
      <c r="C2205">
        <v>2204</v>
      </c>
      <c r="D2205">
        <v>1</v>
      </c>
      <c r="E2205">
        <v>1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1</v>
      </c>
      <c r="M2205">
        <v>1</v>
      </c>
      <c r="N2205">
        <v>1</v>
      </c>
      <c r="O2205">
        <v>1</v>
      </c>
      <c r="P2205">
        <v>1</v>
      </c>
      <c r="Q2205">
        <v>1</v>
      </c>
      <c r="R2205">
        <v>1</v>
      </c>
      <c r="S2205">
        <v>1</v>
      </c>
    </row>
    <row r="2206" spans="1:19" x14ac:dyDescent="0.25">
      <c r="A2206" s="1">
        <v>0.76595197916666669</v>
      </c>
      <c r="B2206" s="145" t="s">
        <v>165</v>
      </c>
      <c r="C2206">
        <v>2205</v>
      </c>
      <c r="D2206">
        <v>1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1</v>
      </c>
      <c r="M2206">
        <v>1</v>
      </c>
      <c r="N2206">
        <v>1</v>
      </c>
      <c r="O2206">
        <v>1</v>
      </c>
      <c r="P2206">
        <v>1</v>
      </c>
      <c r="Q2206">
        <v>1</v>
      </c>
      <c r="R2206">
        <v>1</v>
      </c>
      <c r="S2206">
        <v>1</v>
      </c>
    </row>
    <row r="2207" spans="1:19" x14ac:dyDescent="0.25">
      <c r="A2207" s="1">
        <v>0.76595209490740745</v>
      </c>
      <c r="B2207" s="145" t="s">
        <v>165</v>
      </c>
      <c r="C2207">
        <v>2206</v>
      </c>
      <c r="D2207">
        <v>1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1</v>
      </c>
      <c r="M2207">
        <v>1</v>
      </c>
      <c r="N2207">
        <v>1</v>
      </c>
      <c r="O2207">
        <v>1</v>
      </c>
      <c r="P2207">
        <v>1</v>
      </c>
      <c r="Q2207">
        <v>1</v>
      </c>
      <c r="R2207">
        <v>1</v>
      </c>
      <c r="S2207">
        <v>1</v>
      </c>
    </row>
    <row r="2208" spans="1:19" x14ac:dyDescent="0.25">
      <c r="A2208" s="1">
        <v>0.76595221064814811</v>
      </c>
      <c r="B2208" s="145" t="s">
        <v>2</v>
      </c>
      <c r="C2208">
        <v>2207</v>
      </c>
      <c r="D2208">
        <v>0</v>
      </c>
      <c r="E2208">
        <v>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1</v>
      </c>
      <c r="N2208">
        <v>1</v>
      </c>
      <c r="O2208">
        <v>1</v>
      </c>
      <c r="P2208">
        <v>1</v>
      </c>
      <c r="Q2208">
        <v>1</v>
      </c>
      <c r="R2208">
        <v>1</v>
      </c>
      <c r="S2208">
        <v>1</v>
      </c>
    </row>
    <row r="2209" spans="1:19" x14ac:dyDescent="0.25">
      <c r="A2209" s="1">
        <v>0.76595232638888888</v>
      </c>
      <c r="B2209" s="145" t="s">
        <v>165</v>
      </c>
      <c r="C2209">
        <v>2208</v>
      </c>
      <c r="D2209">
        <v>1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1</v>
      </c>
      <c r="N2209">
        <v>1</v>
      </c>
      <c r="O2209">
        <v>1</v>
      </c>
      <c r="P2209">
        <v>1</v>
      </c>
      <c r="Q2209">
        <v>1</v>
      </c>
      <c r="R2209">
        <v>1</v>
      </c>
      <c r="S2209">
        <v>1</v>
      </c>
    </row>
    <row r="2210" spans="1:19" x14ac:dyDescent="0.25">
      <c r="A2210" s="1">
        <v>0.76595244212962965</v>
      </c>
      <c r="B2210" s="145" t="s">
        <v>165</v>
      </c>
      <c r="C2210">
        <v>2209</v>
      </c>
      <c r="D2210">
        <v>1</v>
      </c>
      <c r="E2210">
        <v>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</row>
    <row r="2211" spans="1:19" x14ac:dyDescent="0.25">
      <c r="A2211" s="1">
        <v>0.76595255787037042</v>
      </c>
      <c r="B2211" s="145" t="s">
        <v>165</v>
      </c>
      <c r="C2211">
        <v>2210</v>
      </c>
      <c r="D2211">
        <v>1</v>
      </c>
      <c r="E2211">
        <v>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1</v>
      </c>
      <c r="M2211">
        <v>1</v>
      </c>
      <c r="N2211">
        <v>1</v>
      </c>
      <c r="O2211">
        <v>1</v>
      </c>
      <c r="P2211">
        <v>1</v>
      </c>
      <c r="Q2211">
        <v>1</v>
      </c>
      <c r="R2211">
        <v>1</v>
      </c>
      <c r="S2211">
        <v>1</v>
      </c>
    </row>
    <row r="2212" spans="1:19" x14ac:dyDescent="0.25">
      <c r="A2212" s="1">
        <v>0.76595267361111108</v>
      </c>
      <c r="B2212" s="145" t="s">
        <v>165</v>
      </c>
      <c r="C2212">
        <v>2211</v>
      </c>
      <c r="D2212">
        <v>1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1</v>
      </c>
      <c r="N2212">
        <v>1</v>
      </c>
      <c r="O2212">
        <v>1</v>
      </c>
      <c r="P2212">
        <v>1</v>
      </c>
      <c r="Q2212">
        <v>1</v>
      </c>
      <c r="R2212">
        <v>1</v>
      </c>
      <c r="S2212">
        <v>1</v>
      </c>
    </row>
    <row r="2213" spans="1:19" x14ac:dyDescent="0.25">
      <c r="A2213" s="1">
        <v>0.76595278935185185</v>
      </c>
      <c r="B2213" s="145" t="s">
        <v>165</v>
      </c>
      <c r="C2213">
        <v>2212</v>
      </c>
      <c r="D2213">
        <v>1</v>
      </c>
      <c r="E2213">
        <v>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1</v>
      </c>
      <c r="M2213">
        <v>1</v>
      </c>
      <c r="N2213">
        <v>1</v>
      </c>
      <c r="O2213">
        <v>1</v>
      </c>
      <c r="P2213">
        <v>1</v>
      </c>
      <c r="Q2213">
        <v>1</v>
      </c>
      <c r="R2213">
        <v>1</v>
      </c>
      <c r="S2213">
        <v>1</v>
      </c>
    </row>
    <row r="2214" spans="1:19" x14ac:dyDescent="0.25">
      <c r="A2214" s="1">
        <v>0.76595290509259262</v>
      </c>
      <c r="B2214" s="145" t="s">
        <v>2</v>
      </c>
      <c r="C2214">
        <v>2213</v>
      </c>
      <c r="D2214">
        <v>0</v>
      </c>
      <c r="E2214">
        <v>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1</v>
      </c>
      <c r="N2214">
        <v>1</v>
      </c>
      <c r="O2214">
        <v>1</v>
      </c>
      <c r="P2214">
        <v>1</v>
      </c>
      <c r="Q2214">
        <v>1</v>
      </c>
      <c r="R2214">
        <v>1</v>
      </c>
      <c r="S2214">
        <v>1</v>
      </c>
    </row>
    <row r="2215" spans="1:19" x14ac:dyDescent="0.25">
      <c r="A2215" s="1">
        <v>0.76595302083333339</v>
      </c>
      <c r="B2215" s="145" t="s">
        <v>165</v>
      </c>
      <c r="C2215">
        <v>2214</v>
      </c>
      <c r="D2215">
        <v>1</v>
      </c>
      <c r="E2215">
        <v>1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1</v>
      </c>
      <c r="N2215">
        <v>1</v>
      </c>
      <c r="O2215">
        <v>1</v>
      </c>
      <c r="P2215">
        <v>1</v>
      </c>
      <c r="Q2215">
        <v>1</v>
      </c>
      <c r="R2215">
        <v>1</v>
      </c>
      <c r="S2215">
        <v>1</v>
      </c>
    </row>
    <row r="2216" spans="1:19" x14ac:dyDescent="0.25">
      <c r="A2216" s="1">
        <v>0.76595313657407404</v>
      </c>
      <c r="B2216" s="145" t="s">
        <v>165</v>
      </c>
      <c r="C2216">
        <v>2215</v>
      </c>
      <c r="D2216">
        <v>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1</v>
      </c>
      <c r="M2216">
        <v>1</v>
      </c>
      <c r="N2216">
        <v>1</v>
      </c>
      <c r="O2216">
        <v>1</v>
      </c>
      <c r="P2216">
        <v>1</v>
      </c>
      <c r="Q2216">
        <v>1</v>
      </c>
      <c r="R2216">
        <v>1</v>
      </c>
      <c r="S2216">
        <v>1</v>
      </c>
    </row>
    <row r="2217" spans="1:19" x14ac:dyDescent="0.25">
      <c r="A2217" s="1">
        <v>0.76595325231481481</v>
      </c>
      <c r="B2217" s="145" t="s">
        <v>165</v>
      </c>
      <c r="C2217">
        <v>2216</v>
      </c>
      <c r="D2217">
        <v>1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1</v>
      </c>
      <c r="M2217">
        <v>1</v>
      </c>
      <c r="N2217">
        <v>1</v>
      </c>
      <c r="O2217">
        <v>1</v>
      </c>
      <c r="P2217">
        <v>1</v>
      </c>
      <c r="Q2217">
        <v>1</v>
      </c>
      <c r="R2217">
        <v>1</v>
      </c>
      <c r="S2217">
        <v>1</v>
      </c>
    </row>
    <row r="2218" spans="1:19" x14ac:dyDescent="0.25">
      <c r="A2218" s="1">
        <v>0.76595336805555558</v>
      </c>
      <c r="B2218" s="145" t="s">
        <v>165</v>
      </c>
      <c r="C2218">
        <v>2217</v>
      </c>
      <c r="D2218">
        <v>1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1</v>
      </c>
      <c r="M2218">
        <v>1</v>
      </c>
      <c r="N2218">
        <v>1</v>
      </c>
      <c r="O2218">
        <v>1</v>
      </c>
      <c r="P2218">
        <v>1</v>
      </c>
      <c r="Q2218">
        <v>1</v>
      </c>
      <c r="R2218">
        <v>1</v>
      </c>
      <c r="S2218">
        <v>1</v>
      </c>
    </row>
    <row r="2219" spans="1:19" x14ac:dyDescent="0.25">
      <c r="A2219" s="1">
        <v>0.76595348379629624</v>
      </c>
      <c r="B2219" s="145" t="s">
        <v>165</v>
      </c>
      <c r="C2219">
        <v>2218</v>
      </c>
      <c r="D2219">
        <v>1</v>
      </c>
      <c r="E2219">
        <v>1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1</v>
      </c>
      <c r="M2219">
        <v>1</v>
      </c>
      <c r="N2219">
        <v>1</v>
      </c>
      <c r="O2219">
        <v>1</v>
      </c>
      <c r="P2219">
        <v>1</v>
      </c>
      <c r="Q2219">
        <v>1</v>
      </c>
      <c r="R2219">
        <v>1</v>
      </c>
      <c r="S2219">
        <v>1</v>
      </c>
    </row>
    <row r="2220" spans="1:19" x14ac:dyDescent="0.25">
      <c r="A2220" s="1">
        <v>0.76595359953703701</v>
      </c>
      <c r="B2220" s="145" t="s">
        <v>2</v>
      </c>
      <c r="C2220">
        <v>2219</v>
      </c>
      <c r="D2220">
        <v>0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1</v>
      </c>
      <c r="N2220">
        <v>1</v>
      </c>
      <c r="O2220">
        <v>1</v>
      </c>
      <c r="P2220">
        <v>1</v>
      </c>
      <c r="Q2220">
        <v>1</v>
      </c>
      <c r="R2220">
        <v>1</v>
      </c>
      <c r="S2220">
        <v>1</v>
      </c>
    </row>
    <row r="2221" spans="1:19" x14ac:dyDescent="0.25">
      <c r="A2221" s="1">
        <v>0.76595370370370375</v>
      </c>
      <c r="B2221" s="145" t="s">
        <v>165</v>
      </c>
      <c r="C2221">
        <v>2220</v>
      </c>
      <c r="D2221">
        <v>1</v>
      </c>
      <c r="E2221">
        <v>1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1</v>
      </c>
      <c r="M2221">
        <v>1</v>
      </c>
      <c r="N2221">
        <v>1</v>
      </c>
      <c r="O2221">
        <v>1</v>
      </c>
      <c r="P2221">
        <v>1</v>
      </c>
      <c r="Q2221">
        <v>1</v>
      </c>
      <c r="R2221">
        <v>1</v>
      </c>
      <c r="S2221">
        <v>1</v>
      </c>
    </row>
    <row r="2222" spans="1:19" x14ac:dyDescent="0.25">
      <c r="A2222" s="1">
        <v>0.76595381944444441</v>
      </c>
      <c r="B2222" s="145" t="s">
        <v>165</v>
      </c>
      <c r="C2222">
        <v>2221</v>
      </c>
      <c r="D2222">
        <v>1</v>
      </c>
      <c r="E2222">
        <v>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1</v>
      </c>
      <c r="N2222">
        <v>1</v>
      </c>
      <c r="O2222">
        <v>1</v>
      </c>
      <c r="P2222">
        <v>1</v>
      </c>
      <c r="Q2222">
        <v>1</v>
      </c>
      <c r="R2222">
        <v>1</v>
      </c>
      <c r="S2222">
        <v>1</v>
      </c>
    </row>
    <row r="2223" spans="1:19" x14ac:dyDescent="0.25">
      <c r="A2223" s="1">
        <v>0.76595393518518518</v>
      </c>
      <c r="B2223" s="145" t="s">
        <v>165</v>
      </c>
      <c r="C2223">
        <v>2222</v>
      </c>
      <c r="D2223">
        <v>1</v>
      </c>
      <c r="E2223">
        <v>1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1</v>
      </c>
      <c r="N2223">
        <v>1</v>
      </c>
      <c r="O2223">
        <v>1</v>
      </c>
      <c r="P2223">
        <v>1</v>
      </c>
      <c r="Q2223">
        <v>1</v>
      </c>
      <c r="R2223">
        <v>1</v>
      </c>
      <c r="S2223">
        <v>1</v>
      </c>
    </row>
    <row r="2224" spans="1:19" x14ac:dyDescent="0.25">
      <c r="A2224" s="1">
        <v>0.76595405092592594</v>
      </c>
      <c r="B2224" s="145" t="s">
        <v>165</v>
      </c>
      <c r="C2224">
        <v>2223</v>
      </c>
      <c r="D2224">
        <v>1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1</v>
      </c>
      <c r="N2224">
        <v>1</v>
      </c>
      <c r="O2224">
        <v>1</v>
      </c>
      <c r="P2224">
        <v>1</v>
      </c>
      <c r="Q2224">
        <v>1</v>
      </c>
      <c r="R2224">
        <v>1</v>
      </c>
      <c r="S2224">
        <v>1</v>
      </c>
    </row>
    <row r="2225" spans="1:19" x14ac:dyDescent="0.25">
      <c r="A2225" s="1">
        <v>0.76595416666666671</v>
      </c>
      <c r="B2225" s="145" t="s">
        <v>165</v>
      </c>
      <c r="C2225">
        <v>2224</v>
      </c>
      <c r="D2225">
        <v>1</v>
      </c>
      <c r="E2225">
        <v>1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1</v>
      </c>
      <c r="P2225">
        <v>1</v>
      </c>
      <c r="Q2225">
        <v>1</v>
      </c>
      <c r="R2225">
        <v>1</v>
      </c>
      <c r="S2225">
        <v>1</v>
      </c>
    </row>
    <row r="2226" spans="1:19" x14ac:dyDescent="0.25">
      <c r="A2226" s="1">
        <v>0.76595428240740737</v>
      </c>
      <c r="B2226" s="145" t="s">
        <v>2</v>
      </c>
      <c r="C2226">
        <v>2225</v>
      </c>
      <c r="D2226">
        <v>0</v>
      </c>
      <c r="E2226">
        <v>1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1</v>
      </c>
      <c r="M2226">
        <v>1</v>
      </c>
      <c r="N2226">
        <v>1</v>
      </c>
      <c r="O2226">
        <v>1</v>
      </c>
      <c r="P2226">
        <v>1</v>
      </c>
      <c r="Q2226">
        <v>1</v>
      </c>
      <c r="R2226">
        <v>1</v>
      </c>
      <c r="S2226">
        <v>1</v>
      </c>
    </row>
    <row r="2227" spans="1:19" x14ac:dyDescent="0.25">
      <c r="A2227" s="1">
        <v>0.76595439814814814</v>
      </c>
      <c r="B2227" s="145" t="s">
        <v>165</v>
      </c>
      <c r="C2227">
        <v>2226</v>
      </c>
      <c r="D2227">
        <v>1</v>
      </c>
      <c r="E2227">
        <v>1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1</v>
      </c>
      <c r="O2227">
        <v>1</v>
      </c>
      <c r="P2227">
        <v>1</v>
      </c>
      <c r="Q2227">
        <v>1</v>
      </c>
      <c r="R2227">
        <v>1</v>
      </c>
      <c r="S2227">
        <v>1</v>
      </c>
    </row>
    <row r="2228" spans="1:19" x14ac:dyDescent="0.25">
      <c r="A2228" s="1">
        <v>0.76595451388888891</v>
      </c>
      <c r="B2228" s="145" t="s">
        <v>165</v>
      </c>
      <c r="C2228">
        <v>2227</v>
      </c>
      <c r="D2228">
        <v>1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1</v>
      </c>
      <c r="M2228">
        <v>1</v>
      </c>
      <c r="N2228">
        <v>1</v>
      </c>
      <c r="O2228">
        <v>1</v>
      </c>
      <c r="P2228">
        <v>1</v>
      </c>
      <c r="Q2228">
        <v>1</v>
      </c>
      <c r="R2228">
        <v>1</v>
      </c>
      <c r="S2228">
        <v>1</v>
      </c>
    </row>
    <row r="2229" spans="1:19" x14ac:dyDescent="0.25">
      <c r="A2229" s="1">
        <v>0.76595462962962968</v>
      </c>
      <c r="B2229" s="145" t="s">
        <v>165</v>
      </c>
      <c r="C2229">
        <v>2228</v>
      </c>
      <c r="D2229">
        <v>1</v>
      </c>
      <c r="E2229">
        <v>1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1</v>
      </c>
      <c r="M2229">
        <v>1</v>
      </c>
      <c r="N2229">
        <v>1</v>
      </c>
      <c r="O2229">
        <v>1</v>
      </c>
      <c r="P2229">
        <v>1</v>
      </c>
      <c r="Q2229">
        <v>1</v>
      </c>
      <c r="R2229">
        <v>1</v>
      </c>
      <c r="S2229">
        <v>1</v>
      </c>
    </row>
    <row r="2230" spans="1:19" x14ac:dyDescent="0.25">
      <c r="A2230" s="1">
        <v>0.76595474537037034</v>
      </c>
      <c r="B2230" s="145" t="s">
        <v>165</v>
      </c>
      <c r="C2230">
        <v>2229</v>
      </c>
      <c r="D2230">
        <v>1</v>
      </c>
      <c r="E2230">
        <v>1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</v>
      </c>
      <c r="M2230">
        <v>1</v>
      </c>
      <c r="N2230">
        <v>1</v>
      </c>
      <c r="O2230">
        <v>1</v>
      </c>
      <c r="P2230">
        <v>1</v>
      </c>
      <c r="Q2230">
        <v>1</v>
      </c>
      <c r="R2230">
        <v>1</v>
      </c>
      <c r="S2230">
        <v>1</v>
      </c>
    </row>
    <row r="2231" spans="1:19" x14ac:dyDescent="0.25">
      <c r="A2231" s="1">
        <v>0.76595486111111111</v>
      </c>
      <c r="B2231" s="145" t="s">
        <v>165</v>
      </c>
      <c r="C2231">
        <v>2230</v>
      </c>
      <c r="D2231">
        <v>1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1</v>
      </c>
      <c r="M2231">
        <v>1</v>
      </c>
      <c r="N2231">
        <v>1</v>
      </c>
      <c r="O2231">
        <v>1</v>
      </c>
      <c r="P2231">
        <v>1</v>
      </c>
      <c r="Q2231">
        <v>1</v>
      </c>
      <c r="R2231">
        <v>1</v>
      </c>
      <c r="S2231">
        <v>1</v>
      </c>
    </row>
    <row r="2232" spans="1:19" x14ac:dyDescent="0.25">
      <c r="A2232" s="1">
        <v>0.76595497685185188</v>
      </c>
      <c r="B2232" s="145" t="s">
        <v>2</v>
      </c>
      <c r="C2232">
        <v>2231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1</v>
      </c>
      <c r="N2232">
        <v>1</v>
      </c>
      <c r="O2232">
        <v>1</v>
      </c>
      <c r="P2232">
        <v>1</v>
      </c>
      <c r="Q2232">
        <v>1</v>
      </c>
      <c r="R2232">
        <v>1</v>
      </c>
      <c r="S2232">
        <v>1</v>
      </c>
    </row>
    <row r="2233" spans="1:19" x14ac:dyDescent="0.25">
      <c r="A2233" s="1">
        <v>0.76595509259259265</v>
      </c>
      <c r="B2233" s="145" t="s">
        <v>165</v>
      </c>
      <c r="C2233">
        <v>2232</v>
      </c>
      <c r="D2233">
        <v>1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1</v>
      </c>
      <c r="N2233">
        <v>1</v>
      </c>
      <c r="O2233">
        <v>1</v>
      </c>
      <c r="P2233">
        <v>1</v>
      </c>
      <c r="Q2233">
        <v>1</v>
      </c>
      <c r="R2233">
        <v>1</v>
      </c>
      <c r="S2233">
        <v>1</v>
      </c>
    </row>
    <row r="2234" spans="1:19" x14ac:dyDescent="0.25">
      <c r="A2234" s="1">
        <v>0.7659552083333333</v>
      </c>
      <c r="B2234" s="145" t="s">
        <v>165</v>
      </c>
      <c r="C2234">
        <v>2233</v>
      </c>
      <c r="D2234">
        <v>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1</v>
      </c>
      <c r="M2234">
        <v>1</v>
      </c>
      <c r="N2234">
        <v>1</v>
      </c>
      <c r="O2234">
        <v>1</v>
      </c>
      <c r="P2234">
        <v>1</v>
      </c>
      <c r="Q2234">
        <v>1</v>
      </c>
      <c r="R2234">
        <v>1</v>
      </c>
      <c r="S2234">
        <v>1</v>
      </c>
    </row>
    <row r="2235" spans="1:19" x14ac:dyDescent="0.25">
      <c r="A2235" s="1">
        <v>0.76595532407407407</v>
      </c>
      <c r="B2235" s="145" t="s">
        <v>165</v>
      </c>
      <c r="C2235">
        <v>2234</v>
      </c>
      <c r="D2235">
        <v>1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1</v>
      </c>
      <c r="N2235">
        <v>1</v>
      </c>
      <c r="O2235">
        <v>1</v>
      </c>
      <c r="P2235">
        <v>1</v>
      </c>
      <c r="Q2235">
        <v>1</v>
      </c>
      <c r="R2235">
        <v>1</v>
      </c>
      <c r="S2235">
        <v>1</v>
      </c>
    </row>
    <row r="2236" spans="1:19" x14ac:dyDescent="0.25">
      <c r="A2236" s="1">
        <v>0.76595543981481484</v>
      </c>
      <c r="B2236" s="145" t="s">
        <v>165</v>
      </c>
      <c r="C2236">
        <v>2235</v>
      </c>
      <c r="D2236">
        <v>1</v>
      </c>
      <c r="E2236">
        <v>1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1</v>
      </c>
      <c r="O2236">
        <v>1</v>
      </c>
      <c r="P2236">
        <v>1</v>
      </c>
      <c r="Q2236">
        <v>1</v>
      </c>
      <c r="R2236">
        <v>1</v>
      </c>
      <c r="S2236">
        <v>1</v>
      </c>
    </row>
    <row r="2237" spans="1:19" x14ac:dyDescent="0.25">
      <c r="A2237" s="1">
        <v>0.7659555555555555</v>
      </c>
      <c r="B2237" s="145" t="s">
        <v>165</v>
      </c>
      <c r="C2237">
        <v>2236</v>
      </c>
      <c r="D2237">
        <v>1</v>
      </c>
      <c r="E2237">
        <v>1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1</v>
      </c>
      <c r="N2237">
        <v>1</v>
      </c>
      <c r="O2237">
        <v>1</v>
      </c>
      <c r="P2237">
        <v>1</v>
      </c>
      <c r="Q2237">
        <v>1</v>
      </c>
      <c r="R2237">
        <v>1</v>
      </c>
      <c r="S2237">
        <v>1</v>
      </c>
    </row>
    <row r="2238" spans="1:19" x14ac:dyDescent="0.25">
      <c r="A2238" s="1">
        <v>0.76595567129629627</v>
      </c>
      <c r="B2238" s="145" t="s">
        <v>2</v>
      </c>
      <c r="C2238">
        <v>2237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1</v>
      </c>
      <c r="O2238">
        <v>1</v>
      </c>
      <c r="P2238">
        <v>1</v>
      </c>
      <c r="Q2238">
        <v>1</v>
      </c>
      <c r="R2238">
        <v>1</v>
      </c>
      <c r="S2238">
        <v>1</v>
      </c>
    </row>
    <row r="2239" spans="1:19" x14ac:dyDescent="0.25">
      <c r="A2239" s="1">
        <v>0.76595578703703704</v>
      </c>
      <c r="B2239" s="145" t="s">
        <v>165</v>
      </c>
      <c r="C2239">
        <v>2238</v>
      </c>
      <c r="D2239">
        <v>1</v>
      </c>
      <c r="E2239">
        <v>1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1</v>
      </c>
      <c r="O2239">
        <v>1</v>
      </c>
      <c r="P2239">
        <v>1</v>
      </c>
      <c r="Q2239">
        <v>1</v>
      </c>
      <c r="R2239">
        <v>1</v>
      </c>
      <c r="S2239">
        <v>1</v>
      </c>
    </row>
    <row r="2240" spans="1:19" x14ac:dyDescent="0.25">
      <c r="A2240" s="1">
        <v>0.76595590277777781</v>
      </c>
      <c r="B2240" s="145" t="s">
        <v>165</v>
      </c>
      <c r="C2240">
        <v>2239</v>
      </c>
      <c r="D2240">
        <v>1</v>
      </c>
      <c r="E2240">
        <v>1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1</v>
      </c>
      <c r="N2240">
        <v>1</v>
      </c>
      <c r="O2240">
        <v>1</v>
      </c>
      <c r="P2240">
        <v>1</v>
      </c>
      <c r="Q2240">
        <v>1</v>
      </c>
      <c r="R2240">
        <v>1</v>
      </c>
      <c r="S2240">
        <v>1</v>
      </c>
    </row>
    <row r="2241" spans="1:19" x14ac:dyDescent="0.25">
      <c r="A2241" s="1">
        <v>0.76595601851851847</v>
      </c>
      <c r="B2241" s="145" t="s">
        <v>165</v>
      </c>
      <c r="C2241">
        <v>2240</v>
      </c>
      <c r="D2241">
        <v>1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1</v>
      </c>
      <c r="M2241">
        <v>1</v>
      </c>
      <c r="N2241">
        <v>1</v>
      </c>
      <c r="O2241">
        <v>1</v>
      </c>
      <c r="P2241">
        <v>1</v>
      </c>
      <c r="Q2241">
        <v>1</v>
      </c>
      <c r="R2241">
        <v>1</v>
      </c>
      <c r="S2241">
        <v>1</v>
      </c>
    </row>
    <row r="2242" spans="1:19" x14ac:dyDescent="0.25">
      <c r="A2242" s="1">
        <v>0.76595613425925924</v>
      </c>
      <c r="B2242" s="145" t="s">
        <v>165</v>
      </c>
      <c r="C2242">
        <v>2241</v>
      </c>
      <c r="D2242">
        <v>1</v>
      </c>
      <c r="E2242">
        <v>1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1</v>
      </c>
      <c r="N2242">
        <v>1</v>
      </c>
      <c r="O2242">
        <v>1</v>
      </c>
      <c r="P2242">
        <v>1</v>
      </c>
      <c r="Q2242">
        <v>1</v>
      </c>
      <c r="R2242">
        <v>1</v>
      </c>
      <c r="S2242">
        <v>1</v>
      </c>
    </row>
    <row r="2243" spans="1:19" x14ac:dyDescent="0.25">
      <c r="A2243" s="1">
        <v>0.76595625000000001</v>
      </c>
      <c r="B2243" s="145" t="s">
        <v>165</v>
      </c>
      <c r="C2243">
        <v>2242</v>
      </c>
      <c r="D2243">
        <v>1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1</v>
      </c>
      <c r="M2243">
        <v>1</v>
      </c>
      <c r="N2243">
        <v>1</v>
      </c>
      <c r="O2243">
        <v>1</v>
      </c>
      <c r="P2243">
        <v>1</v>
      </c>
      <c r="Q2243">
        <v>1</v>
      </c>
      <c r="R2243">
        <v>1</v>
      </c>
      <c r="S2243">
        <v>1</v>
      </c>
    </row>
    <row r="2244" spans="1:19" x14ac:dyDescent="0.25">
      <c r="A2244" s="1">
        <v>0.76595636574074077</v>
      </c>
      <c r="B2244" s="145" t="s">
        <v>2</v>
      </c>
      <c r="C2244">
        <v>2243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</v>
      </c>
      <c r="N2244">
        <v>1</v>
      </c>
      <c r="O2244">
        <v>1</v>
      </c>
      <c r="P2244">
        <v>1</v>
      </c>
      <c r="Q2244">
        <v>1</v>
      </c>
      <c r="R2244">
        <v>1</v>
      </c>
      <c r="S2244">
        <v>1</v>
      </c>
    </row>
    <row r="2245" spans="1:19" x14ac:dyDescent="0.25">
      <c r="A2245" s="1">
        <v>0.76595648148148143</v>
      </c>
      <c r="B2245" s="145" t="s">
        <v>165</v>
      </c>
      <c r="C2245">
        <v>2244</v>
      </c>
      <c r="D2245">
        <v>1</v>
      </c>
      <c r="E2245">
        <v>1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1</v>
      </c>
      <c r="N2245">
        <v>1</v>
      </c>
      <c r="O2245">
        <v>1</v>
      </c>
      <c r="P2245">
        <v>1</v>
      </c>
      <c r="Q2245">
        <v>1</v>
      </c>
      <c r="R2245">
        <v>1</v>
      </c>
      <c r="S2245">
        <v>1</v>
      </c>
    </row>
    <row r="2246" spans="1:19" x14ac:dyDescent="0.25">
      <c r="A2246" s="1">
        <v>0.7659565972222222</v>
      </c>
      <c r="B2246" s="145" t="s">
        <v>165</v>
      </c>
      <c r="C2246">
        <v>2245</v>
      </c>
      <c r="D2246">
        <v>1</v>
      </c>
      <c r="E2246">
        <v>1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1</v>
      </c>
      <c r="M2246">
        <v>1</v>
      </c>
      <c r="N2246">
        <v>1</v>
      </c>
      <c r="O2246">
        <v>1</v>
      </c>
      <c r="P2246">
        <v>1</v>
      </c>
      <c r="Q2246">
        <v>1</v>
      </c>
      <c r="R2246">
        <v>1</v>
      </c>
      <c r="S2246">
        <v>1</v>
      </c>
    </row>
    <row r="2247" spans="1:19" x14ac:dyDescent="0.25">
      <c r="A2247" s="1">
        <v>0.76595671296296297</v>
      </c>
      <c r="B2247" s="145" t="s">
        <v>165</v>
      </c>
      <c r="C2247">
        <v>2246</v>
      </c>
      <c r="D2247">
        <v>1</v>
      </c>
      <c r="E2247">
        <v>1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1</v>
      </c>
      <c r="M2247">
        <v>1</v>
      </c>
      <c r="N2247">
        <v>1</v>
      </c>
      <c r="O2247">
        <v>1</v>
      </c>
      <c r="P2247">
        <v>1</v>
      </c>
      <c r="Q2247">
        <v>1</v>
      </c>
      <c r="R2247">
        <v>1</v>
      </c>
      <c r="S2247">
        <v>1</v>
      </c>
    </row>
    <row r="2248" spans="1:19" x14ac:dyDescent="0.25">
      <c r="A2248" s="1">
        <v>0.76595682870370374</v>
      </c>
      <c r="B2248" s="145" t="s">
        <v>165</v>
      </c>
      <c r="C2248">
        <v>2247</v>
      </c>
      <c r="D2248">
        <v>1</v>
      </c>
      <c r="E2248">
        <v>1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1</v>
      </c>
      <c r="M2248">
        <v>1</v>
      </c>
      <c r="N2248">
        <v>1</v>
      </c>
      <c r="O2248">
        <v>1</v>
      </c>
      <c r="P2248">
        <v>1</v>
      </c>
      <c r="Q2248">
        <v>1</v>
      </c>
      <c r="R2248">
        <v>1</v>
      </c>
      <c r="S2248">
        <v>1</v>
      </c>
    </row>
    <row r="2249" spans="1:19" x14ac:dyDescent="0.25">
      <c r="A2249" s="1">
        <v>0.7659569444444444</v>
      </c>
      <c r="B2249" s="145" t="s">
        <v>165</v>
      </c>
      <c r="C2249">
        <v>2248</v>
      </c>
      <c r="D2249">
        <v>1</v>
      </c>
      <c r="E2249">
        <v>1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1</v>
      </c>
      <c r="M2249">
        <v>1</v>
      </c>
      <c r="N2249">
        <v>1</v>
      </c>
      <c r="O2249">
        <v>1</v>
      </c>
      <c r="P2249">
        <v>1</v>
      </c>
      <c r="Q2249">
        <v>1</v>
      </c>
      <c r="R2249">
        <v>1</v>
      </c>
      <c r="S2249">
        <v>1</v>
      </c>
    </row>
    <row r="2250" spans="1:19" x14ac:dyDescent="0.25">
      <c r="A2250" s="1">
        <v>0.76595717592592594</v>
      </c>
      <c r="B2250" s="145" t="s">
        <v>165</v>
      </c>
      <c r="C2250">
        <v>2249</v>
      </c>
      <c r="D2250">
        <v>1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1</v>
      </c>
      <c r="N2250">
        <v>1</v>
      </c>
      <c r="O2250">
        <v>1</v>
      </c>
      <c r="P2250">
        <v>1</v>
      </c>
      <c r="Q2250">
        <v>1</v>
      </c>
      <c r="R2250">
        <v>1</v>
      </c>
      <c r="S2250">
        <v>1</v>
      </c>
    </row>
    <row r="2251" spans="1:19" x14ac:dyDescent="0.25">
      <c r="A2251" s="1">
        <v>0.76595729166666671</v>
      </c>
      <c r="B2251" s="145" t="s">
        <v>165</v>
      </c>
      <c r="C2251">
        <v>2250</v>
      </c>
      <c r="D2251">
        <v>1</v>
      </c>
      <c r="E2251">
        <v>1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1</v>
      </c>
      <c r="N2251">
        <v>1</v>
      </c>
      <c r="O2251">
        <v>1</v>
      </c>
      <c r="P2251">
        <v>1</v>
      </c>
      <c r="Q2251">
        <v>1</v>
      </c>
      <c r="R2251">
        <v>1</v>
      </c>
      <c r="S2251">
        <v>1</v>
      </c>
    </row>
    <row r="2252" spans="1:19" x14ac:dyDescent="0.25">
      <c r="A2252" s="1">
        <v>0.76595740740740736</v>
      </c>
      <c r="B2252" s="145" t="s">
        <v>165</v>
      </c>
      <c r="C2252">
        <v>2251</v>
      </c>
      <c r="D2252">
        <v>1</v>
      </c>
      <c r="E2252">
        <v>1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1</v>
      </c>
      <c r="O2252">
        <v>1</v>
      </c>
      <c r="P2252">
        <v>1</v>
      </c>
      <c r="Q2252">
        <v>1</v>
      </c>
      <c r="R2252">
        <v>1</v>
      </c>
      <c r="S2252">
        <v>1</v>
      </c>
    </row>
    <row r="2253" spans="1:19" x14ac:dyDescent="0.25">
      <c r="A2253" s="1">
        <v>0.76595752314814813</v>
      </c>
      <c r="B2253" s="145" t="s">
        <v>165</v>
      </c>
      <c r="C2253">
        <v>2252</v>
      </c>
      <c r="D2253">
        <v>1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1</v>
      </c>
      <c r="M2253">
        <v>1</v>
      </c>
      <c r="N2253">
        <v>1</v>
      </c>
      <c r="O2253">
        <v>1</v>
      </c>
      <c r="P2253">
        <v>1</v>
      </c>
      <c r="Q2253">
        <v>1</v>
      </c>
      <c r="R2253">
        <v>1</v>
      </c>
      <c r="S2253">
        <v>1</v>
      </c>
    </row>
    <row r="2254" spans="1:19" x14ac:dyDescent="0.25">
      <c r="A2254" s="1">
        <v>0.7659576388888889</v>
      </c>
      <c r="B2254" s="145" t="s">
        <v>165</v>
      </c>
      <c r="C2254">
        <v>2253</v>
      </c>
      <c r="D2254">
        <v>1</v>
      </c>
      <c r="E2254">
        <v>1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1</v>
      </c>
      <c r="N2254">
        <v>1</v>
      </c>
      <c r="O2254">
        <v>1</v>
      </c>
      <c r="P2254">
        <v>1</v>
      </c>
      <c r="Q2254">
        <v>1</v>
      </c>
      <c r="R2254">
        <v>1</v>
      </c>
      <c r="S2254">
        <v>1</v>
      </c>
    </row>
    <row r="2255" spans="1:19" x14ac:dyDescent="0.25">
      <c r="A2255" s="1">
        <v>0.76595775462962967</v>
      </c>
      <c r="B2255" s="145" t="s">
        <v>2</v>
      </c>
      <c r="C2255">
        <v>2254</v>
      </c>
      <c r="D2255">
        <v>0</v>
      </c>
      <c r="E2255">
        <v>1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1</v>
      </c>
      <c r="N2255">
        <v>1</v>
      </c>
      <c r="O2255">
        <v>1</v>
      </c>
      <c r="P2255">
        <v>1</v>
      </c>
      <c r="Q2255">
        <v>1</v>
      </c>
      <c r="R2255">
        <v>1</v>
      </c>
      <c r="S2255">
        <v>1</v>
      </c>
    </row>
    <row r="2256" spans="1:19" x14ac:dyDescent="0.25">
      <c r="A2256" s="1">
        <v>0.76595787037037033</v>
      </c>
      <c r="B2256" s="145" t="s">
        <v>165</v>
      </c>
      <c r="C2256">
        <v>2255</v>
      </c>
      <c r="D2256">
        <v>1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1</v>
      </c>
      <c r="M2256">
        <v>1</v>
      </c>
      <c r="N2256">
        <v>1</v>
      </c>
      <c r="O2256">
        <v>1</v>
      </c>
      <c r="P2256">
        <v>1</v>
      </c>
      <c r="Q2256">
        <v>1</v>
      </c>
      <c r="R2256">
        <v>1</v>
      </c>
      <c r="S2256">
        <v>1</v>
      </c>
    </row>
    <row r="2257" spans="1:19" x14ac:dyDescent="0.25">
      <c r="A2257" s="1">
        <v>0.7659579861111111</v>
      </c>
      <c r="B2257" s="145" t="s">
        <v>165</v>
      </c>
      <c r="C2257">
        <v>2256</v>
      </c>
      <c r="D2257">
        <v>1</v>
      </c>
      <c r="E2257">
        <v>1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1</v>
      </c>
      <c r="O2257">
        <v>1</v>
      </c>
      <c r="P2257">
        <v>1</v>
      </c>
      <c r="Q2257">
        <v>1</v>
      </c>
      <c r="R2257">
        <v>1</v>
      </c>
      <c r="S2257">
        <v>1</v>
      </c>
    </row>
    <row r="2258" spans="1:19" x14ac:dyDescent="0.25">
      <c r="A2258" s="1">
        <v>0.76595810185185187</v>
      </c>
      <c r="B2258" s="145" t="s">
        <v>165</v>
      </c>
      <c r="C2258">
        <v>2257</v>
      </c>
      <c r="D2258">
        <v>1</v>
      </c>
      <c r="E2258">
        <v>1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1</v>
      </c>
      <c r="N2258">
        <v>1</v>
      </c>
      <c r="O2258">
        <v>1</v>
      </c>
      <c r="P2258">
        <v>1</v>
      </c>
      <c r="Q2258">
        <v>1</v>
      </c>
      <c r="R2258">
        <v>1</v>
      </c>
      <c r="S2258">
        <v>1</v>
      </c>
    </row>
    <row r="2259" spans="1:19" x14ac:dyDescent="0.25">
      <c r="A2259" s="1">
        <v>0.76595821759259264</v>
      </c>
      <c r="B2259" s="145" t="s">
        <v>165</v>
      </c>
      <c r="C2259">
        <v>2258</v>
      </c>
      <c r="D2259">
        <v>1</v>
      </c>
      <c r="E2259">
        <v>1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1</v>
      </c>
      <c r="M2259">
        <v>1</v>
      </c>
      <c r="N2259">
        <v>1</v>
      </c>
      <c r="O2259">
        <v>1</v>
      </c>
      <c r="P2259">
        <v>1</v>
      </c>
      <c r="Q2259">
        <v>1</v>
      </c>
      <c r="R2259">
        <v>1</v>
      </c>
      <c r="S2259">
        <v>1</v>
      </c>
    </row>
    <row r="2260" spans="1:19" x14ac:dyDescent="0.25">
      <c r="A2260" s="1">
        <v>0.7659583333333333</v>
      </c>
      <c r="B2260" s="145" t="s">
        <v>165</v>
      </c>
      <c r="C2260">
        <v>2259</v>
      </c>
      <c r="D2260">
        <v>1</v>
      </c>
      <c r="E2260">
        <v>1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1</v>
      </c>
      <c r="M2260">
        <v>1</v>
      </c>
      <c r="N2260">
        <v>1</v>
      </c>
      <c r="O2260">
        <v>1</v>
      </c>
      <c r="P2260">
        <v>1</v>
      </c>
      <c r="Q2260">
        <v>1</v>
      </c>
      <c r="R2260">
        <v>1</v>
      </c>
      <c r="S2260">
        <v>1</v>
      </c>
    </row>
    <row r="2261" spans="1:19" x14ac:dyDescent="0.25">
      <c r="A2261" s="1">
        <v>0.76595844907407407</v>
      </c>
      <c r="B2261" s="145" t="s">
        <v>2</v>
      </c>
      <c r="C2261">
        <v>2260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1</v>
      </c>
      <c r="M2261">
        <v>1</v>
      </c>
      <c r="N2261">
        <v>1</v>
      </c>
      <c r="O2261">
        <v>1</v>
      </c>
      <c r="P2261">
        <v>1</v>
      </c>
      <c r="Q2261">
        <v>1</v>
      </c>
      <c r="R2261">
        <v>1</v>
      </c>
      <c r="S2261">
        <v>1</v>
      </c>
    </row>
    <row r="2262" spans="1:19" x14ac:dyDescent="0.25">
      <c r="A2262" s="1">
        <v>0.76595856481481484</v>
      </c>
      <c r="B2262" s="145" t="s">
        <v>165</v>
      </c>
      <c r="C2262">
        <v>2261</v>
      </c>
      <c r="D2262">
        <v>1</v>
      </c>
      <c r="E2262">
        <v>1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</v>
      </c>
      <c r="M2262">
        <v>1</v>
      </c>
      <c r="N2262">
        <v>1</v>
      </c>
      <c r="O2262">
        <v>1</v>
      </c>
      <c r="P2262">
        <v>1</v>
      </c>
      <c r="Q2262">
        <v>1</v>
      </c>
      <c r="R2262">
        <v>1</v>
      </c>
      <c r="S2262">
        <v>1</v>
      </c>
    </row>
    <row r="2263" spans="1:19" x14ac:dyDescent="0.25">
      <c r="A2263" s="1">
        <v>0.7659586805555556</v>
      </c>
      <c r="B2263" s="145" t="s">
        <v>165</v>
      </c>
      <c r="C2263">
        <v>2262</v>
      </c>
      <c r="D2263">
        <v>1</v>
      </c>
      <c r="E2263">
        <v>1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1</v>
      </c>
      <c r="M2263">
        <v>1</v>
      </c>
      <c r="N2263">
        <v>1</v>
      </c>
      <c r="O2263">
        <v>1</v>
      </c>
      <c r="P2263">
        <v>1</v>
      </c>
      <c r="Q2263">
        <v>1</v>
      </c>
      <c r="R2263">
        <v>1</v>
      </c>
      <c r="S2263">
        <v>1</v>
      </c>
    </row>
    <row r="2264" spans="1:19" x14ac:dyDescent="0.25">
      <c r="A2264" s="1">
        <v>0.76595879629629626</v>
      </c>
      <c r="B2264" s="145" t="s">
        <v>165</v>
      </c>
      <c r="C2264">
        <v>2263</v>
      </c>
      <c r="D2264">
        <v>1</v>
      </c>
      <c r="E2264">
        <v>1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1</v>
      </c>
      <c r="M2264">
        <v>1</v>
      </c>
      <c r="N2264">
        <v>1</v>
      </c>
      <c r="O2264">
        <v>1</v>
      </c>
      <c r="P2264">
        <v>1</v>
      </c>
      <c r="Q2264">
        <v>1</v>
      </c>
      <c r="R2264">
        <v>1</v>
      </c>
      <c r="S2264">
        <v>1</v>
      </c>
    </row>
    <row r="2265" spans="1:19" x14ac:dyDescent="0.25">
      <c r="A2265" s="1">
        <v>0.76595891203703703</v>
      </c>
      <c r="B2265" s="145" t="s">
        <v>165</v>
      </c>
      <c r="C2265">
        <v>2264</v>
      </c>
      <c r="D2265">
        <v>1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1</v>
      </c>
      <c r="M2265">
        <v>1</v>
      </c>
      <c r="N2265">
        <v>1</v>
      </c>
      <c r="O2265">
        <v>1</v>
      </c>
      <c r="P2265">
        <v>1</v>
      </c>
      <c r="Q2265">
        <v>1</v>
      </c>
      <c r="R2265">
        <v>1</v>
      </c>
      <c r="S2265">
        <v>1</v>
      </c>
    </row>
    <row r="2266" spans="1:19" x14ac:dyDescent="0.25">
      <c r="A2266" s="1">
        <v>0.7659590277777778</v>
      </c>
      <c r="B2266" s="145" t="s">
        <v>165</v>
      </c>
      <c r="C2266">
        <v>2265</v>
      </c>
      <c r="D2266">
        <v>1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1</v>
      </c>
      <c r="N2266">
        <v>1</v>
      </c>
      <c r="O2266">
        <v>1</v>
      </c>
      <c r="P2266">
        <v>1</v>
      </c>
      <c r="Q2266">
        <v>1</v>
      </c>
      <c r="R2266">
        <v>1</v>
      </c>
      <c r="S2266">
        <v>1</v>
      </c>
    </row>
    <row r="2267" spans="1:19" x14ac:dyDescent="0.25">
      <c r="A2267" s="1">
        <v>0.76595914351851857</v>
      </c>
      <c r="B2267" s="145" t="s">
        <v>2</v>
      </c>
      <c r="C2267">
        <v>2266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1</v>
      </c>
      <c r="M2267">
        <v>1</v>
      </c>
      <c r="N2267">
        <v>1</v>
      </c>
      <c r="O2267">
        <v>1</v>
      </c>
      <c r="P2267">
        <v>1</v>
      </c>
      <c r="Q2267">
        <v>1</v>
      </c>
      <c r="R2267">
        <v>1</v>
      </c>
      <c r="S2267">
        <v>1</v>
      </c>
    </row>
    <row r="2268" spans="1:19" x14ac:dyDescent="0.25">
      <c r="A2268" s="1">
        <v>0.76595925925925923</v>
      </c>
      <c r="B2268" s="145" t="s">
        <v>165</v>
      </c>
      <c r="C2268">
        <v>2267</v>
      </c>
      <c r="D2268">
        <v>1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1</v>
      </c>
      <c r="N2268">
        <v>1</v>
      </c>
      <c r="O2268">
        <v>1</v>
      </c>
      <c r="P2268">
        <v>1</v>
      </c>
      <c r="Q2268">
        <v>1</v>
      </c>
      <c r="R2268">
        <v>1</v>
      </c>
      <c r="S2268">
        <v>1</v>
      </c>
    </row>
    <row r="2269" spans="1:19" x14ac:dyDescent="0.25">
      <c r="A2269" s="1">
        <v>0.765959375</v>
      </c>
      <c r="B2269" s="145" t="s">
        <v>165</v>
      </c>
      <c r="C2269">
        <v>2268</v>
      </c>
      <c r="D2269">
        <v>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1</v>
      </c>
      <c r="M2269">
        <v>1</v>
      </c>
      <c r="N2269">
        <v>1</v>
      </c>
      <c r="O2269">
        <v>1</v>
      </c>
      <c r="P2269">
        <v>1</v>
      </c>
      <c r="Q2269">
        <v>1</v>
      </c>
      <c r="R2269">
        <v>1</v>
      </c>
      <c r="S2269">
        <v>1</v>
      </c>
    </row>
    <row r="2270" spans="1:19" x14ac:dyDescent="0.25">
      <c r="A2270" s="1">
        <v>0.76595949074074077</v>
      </c>
      <c r="B2270" s="145" t="s">
        <v>165</v>
      </c>
      <c r="C2270">
        <v>2269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1</v>
      </c>
      <c r="M2270">
        <v>1</v>
      </c>
      <c r="N2270">
        <v>1</v>
      </c>
      <c r="O2270">
        <v>1</v>
      </c>
      <c r="P2270">
        <v>1</v>
      </c>
      <c r="Q2270">
        <v>1</v>
      </c>
      <c r="R2270">
        <v>1</v>
      </c>
      <c r="S2270">
        <v>1</v>
      </c>
    </row>
    <row r="2271" spans="1:19" x14ac:dyDescent="0.25">
      <c r="A2271" s="1">
        <v>0.76595960648148154</v>
      </c>
      <c r="B2271" s="145" t="s">
        <v>165</v>
      </c>
      <c r="C2271">
        <v>2270</v>
      </c>
      <c r="D2271">
        <v>1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1</v>
      </c>
      <c r="M2271">
        <v>1</v>
      </c>
      <c r="N2271">
        <v>1</v>
      </c>
      <c r="O2271">
        <v>1</v>
      </c>
      <c r="P2271">
        <v>1</v>
      </c>
      <c r="Q2271">
        <v>1</v>
      </c>
      <c r="R2271">
        <v>1</v>
      </c>
      <c r="S2271">
        <v>1</v>
      </c>
    </row>
    <row r="2272" spans="1:19" x14ac:dyDescent="0.25">
      <c r="A2272" s="1">
        <v>0.76595972222222219</v>
      </c>
      <c r="B2272" s="145" t="s">
        <v>165</v>
      </c>
      <c r="C2272">
        <v>2271</v>
      </c>
      <c r="D2272">
        <v>1</v>
      </c>
      <c r="E2272">
        <v>1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1</v>
      </c>
      <c r="N2272">
        <v>1</v>
      </c>
      <c r="O2272">
        <v>1</v>
      </c>
      <c r="P2272">
        <v>1</v>
      </c>
      <c r="Q2272">
        <v>1</v>
      </c>
      <c r="R2272">
        <v>1</v>
      </c>
      <c r="S2272">
        <v>1</v>
      </c>
    </row>
    <row r="2273" spans="1:19" x14ac:dyDescent="0.25">
      <c r="A2273" s="1">
        <v>0.76595983796296296</v>
      </c>
      <c r="B2273" s="145" t="s">
        <v>2</v>
      </c>
      <c r="C2273">
        <v>2272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1</v>
      </c>
      <c r="M2273">
        <v>1</v>
      </c>
      <c r="N2273">
        <v>1</v>
      </c>
      <c r="O2273">
        <v>1</v>
      </c>
      <c r="P2273">
        <v>1</v>
      </c>
      <c r="Q2273">
        <v>1</v>
      </c>
      <c r="R2273">
        <v>1</v>
      </c>
      <c r="S2273">
        <v>1</v>
      </c>
    </row>
    <row r="2274" spans="1:19" x14ac:dyDescent="0.25">
      <c r="A2274" s="1">
        <v>0.76595995370370373</v>
      </c>
      <c r="B2274" s="145" t="s">
        <v>165</v>
      </c>
      <c r="C2274">
        <v>2273</v>
      </c>
      <c r="D2274">
        <v>1</v>
      </c>
      <c r="E2274">
        <v>1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1</v>
      </c>
      <c r="N2274">
        <v>1</v>
      </c>
      <c r="O2274">
        <v>1</v>
      </c>
      <c r="P2274">
        <v>1</v>
      </c>
      <c r="Q2274">
        <v>1</v>
      </c>
      <c r="R2274">
        <v>1</v>
      </c>
      <c r="S2274">
        <v>1</v>
      </c>
    </row>
    <row r="2275" spans="1:19" x14ac:dyDescent="0.25">
      <c r="A2275" s="1">
        <v>0.76596006944444439</v>
      </c>
      <c r="B2275" s="145" t="s">
        <v>165</v>
      </c>
      <c r="C2275">
        <v>2274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1</v>
      </c>
      <c r="N2275">
        <v>1</v>
      </c>
      <c r="O2275">
        <v>1</v>
      </c>
      <c r="P2275">
        <v>1</v>
      </c>
      <c r="Q2275">
        <v>1</v>
      </c>
      <c r="R2275">
        <v>1</v>
      </c>
      <c r="S2275">
        <v>1</v>
      </c>
    </row>
    <row r="2276" spans="1:19" x14ac:dyDescent="0.25">
      <c r="A2276" s="1">
        <v>0.76596018518518516</v>
      </c>
      <c r="B2276" s="145" t="s">
        <v>165</v>
      </c>
      <c r="C2276">
        <v>2275</v>
      </c>
      <c r="D2276">
        <v>1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1</v>
      </c>
      <c r="M2276">
        <v>1</v>
      </c>
      <c r="N2276">
        <v>1</v>
      </c>
      <c r="O2276">
        <v>1</v>
      </c>
      <c r="P2276">
        <v>1</v>
      </c>
      <c r="Q2276">
        <v>1</v>
      </c>
      <c r="R2276">
        <v>1</v>
      </c>
      <c r="S2276">
        <v>1</v>
      </c>
    </row>
    <row r="2277" spans="1:19" x14ac:dyDescent="0.25">
      <c r="A2277" s="1">
        <v>0.76596030092592593</v>
      </c>
      <c r="B2277" s="145" t="s">
        <v>165</v>
      </c>
      <c r="C2277">
        <v>2276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1</v>
      </c>
      <c r="M2277">
        <v>1</v>
      </c>
      <c r="N2277">
        <v>1</v>
      </c>
      <c r="O2277">
        <v>1</v>
      </c>
      <c r="P2277">
        <v>1</v>
      </c>
      <c r="Q2277">
        <v>1</v>
      </c>
      <c r="R2277">
        <v>1</v>
      </c>
      <c r="S2277">
        <v>1</v>
      </c>
    </row>
    <row r="2278" spans="1:19" x14ac:dyDescent="0.25">
      <c r="A2278" s="1">
        <v>0.7659604166666667</v>
      </c>
      <c r="B2278" s="145" t="s">
        <v>165</v>
      </c>
      <c r="C2278">
        <v>2277</v>
      </c>
      <c r="D2278">
        <v>1</v>
      </c>
      <c r="E2278">
        <v>1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1</v>
      </c>
      <c r="M2278">
        <v>1</v>
      </c>
      <c r="N2278">
        <v>1</v>
      </c>
      <c r="O2278">
        <v>1</v>
      </c>
      <c r="P2278">
        <v>1</v>
      </c>
      <c r="Q2278">
        <v>1</v>
      </c>
      <c r="R2278">
        <v>1</v>
      </c>
      <c r="S2278">
        <v>1</v>
      </c>
    </row>
    <row r="2279" spans="1:19" x14ac:dyDescent="0.25">
      <c r="A2279" s="1">
        <v>0.76596053240740736</v>
      </c>
      <c r="B2279" s="145" t="s">
        <v>2</v>
      </c>
      <c r="C2279">
        <v>2278</v>
      </c>
      <c r="D2279">
        <v>0</v>
      </c>
      <c r="E2279">
        <v>1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1</v>
      </c>
      <c r="N2279">
        <v>1</v>
      </c>
      <c r="O2279">
        <v>1</v>
      </c>
      <c r="P2279">
        <v>1</v>
      </c>
      <c r="Q2279">
        <v>1</v>
      </c>
      <c r="R2279">
        <v>1</v>
      </c>
      <c r="S2279">
        <v>1</v>
      </c>
    </row>
    <row r="2280" spans="1:19" x14ac:dyDescent="0.25">
      <c r="A2280" s="1">
        <v>0.76596064814814813</v>
      </c>
      <c r="B2280" s="145" t="s">
        <v>165</v>
      </c>
      <c r="C2280">
        <v>2279</v>
      </c>
      <c r="D2280">
        <v>1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1</v>
      </c>
      <c r="M2280">
        <v>1</v>
      </c>
      <c r="N2280">
        <v>1</v>
      </c>
      <c r="O2280">
        <v>1</v>
      </c>
      <c r="P2280">
        <v>1</v>
      </c>
      <c r="Q2280">
        <v>1</v>
      </c>
      <c r="R2280">
        <v>1</v>
      </c>
      <c r="S2280">
        <v>1</v>
      </c>
    </row>
    <row r="2281" spans="1:19" x14ac:dyDescent="0.25">
      <c r="A2281" s="1">
        <v>0.76596075231481486</v>
      </c>
      <c r="B2281" s="145" t="s">
        <v>165</v>
      </c>
      <c r="C2281">
        <v>2280</v>
      </c>
      <c r="D2281">
        <v>1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1</v>
      </c>
      <c r="N2281">
        <v>1</v>
      </c>
      <c r="O2281">
        <v>1</v>
      </c>
      <c r="P2281">
        <v>1</v>
      </c>
      <c r="Q2281">
        <v>1</v>
      </c>
      <c r="R2281">
        <v>1</v>
      </c>
      <c r="S2281">
        <v>1</v>
      </c>
    </row>
    <row r="2282" spans="1:19" x14ac:dyDescent="0.25">
      <c r="A2282" s="1">
        <v>0.76596086805555552</v>
      </c>
      <c r="B2282" s="145" t="s">
        <v>165</v>
      </c>
      <c r="C2282">
        <v>2281</v>
      </c>
      <c r="D2282">
        <v>1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</row>
    <row r="2283" spans="1:19" x14ac:dyDescent="0.25">
      <c r="A2283" s="1">
        <v>0.76596098379629629</v>
      </c>
      <c r="B2283" s="145" t="s">
        <v>165</v>
      </c>
      <c r="C2283">
        <v>2282</v>
      </c>
      <c r="D2283">
        <v>1</v>
      </c>
      <c r="E2283">
        <v>1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1</v>
      </c>
      <c r="N2283">
        <v>1</v>
      </c>
      <c r="O2283">
        <v>1</v>
      </c>
      <c r="P2283">
        <v>1</v>
      </c>
      <c r="Q2283">
        <v>1</v>
      </c>
      <c r="R2283">
        <v>1</v>
      </c>
      <c r="S2283">
        <v>1</v>
      </c>
    </row>
    <row r="2284" spans="1:19" x14ac:dyDescent="0.25">
      <c r="A2284" s="1">
        <v>0.76596109953703706</v>
      </c>
      <c r="B2284" s="145" t="s">
        <v>165</v>
      </c>
      <c r="C2284">
        <v>2283</v>
      </c>
      <c r="D2284">
        <v>1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1</v>
      </c>
      <c r="N2284">
        <v>1</v>
      </c>
      <c r="O2284">
        <v>1</v>
      </c>
      <c r="P2284">
        <v>1</v>
      </c>
      <c r="Q2284">
        <v>1</v>
      </c>
      <c r="R2284">
        <v>1</v>
      </c>
      <c r="S2284">
        <v>1</v>
      </c>
    </row>
    <row r="2285" spans="1:19" x14ac:dyDescent="0.25">
      <c r="A2285" s="1">
        <v>0.76596121527777783</v>
      </c>
      <c r="B2285" s="145" t="s">
        <v>2</v>
      </c>
      <c r="C2285">
        <v>2284</v>
      </c>
      <c r="D2285">
        <v>0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1</v>
      </c>
      <c r="N2285">
        <v>1</v>
      </c>
      <c r="O2285">
        <v>1</v>
      </c>
      <c r="P2285">
        <v>1</v>
      </c>
      <c r="Q2285">
        <v>1</v>
      </c>
      <c r="R2285">
        <v>1</v>
      </c>
      <c r="S2285">
        <v>1</v>
      </c>
    </row>
    <row r="2286" spans="1:19" x14ac:dyDescent="0.25">
      <c r="A2286" s="1">
        <v>0.76596133101851849</v>
      </c>
      <c r="B2286" s="145" t="s">
        <v>165</v>
      </c>
      <c r="C2286">
        <v>2285</v>
      </c>
      <c r="D2286">
        <v>1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1</v>
      </c>
      <c r="S2286">
        <v>1</v>
      </c>
    </row>
    <row r="2287" spans="1:19" x14ac:dyDescent="0.25">
      <c r="A2287" s="1">
        <v>0.76596144675925926</v>
      </c>
      <c r="B2287" s="145" t="s">
        <v>165</v>
      </c>
      <c r="C2287">
        <v>2286</v>
      </c>
      <c r="D2287">
        <v>1</v>
      </c>
      <c r="E2287">
        <v>1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1</v>
      </c>
      <c r="M2287">
        <v>1</v>
      </c>
      <c r="N2287">
        <v>1</v>
      </c>
      <c r="O2287">
        <v>1</v>
      </c>
      <c r="P2287">
        <v>1</v>
      </c>
      <c r="Q2287">
        <v>1</v>
      </c>
      <c r="R2287">
        <v>1</v>
      </c>
      <c r="S2287">
        <v>1</v>
      </c>
    </row>
    <row r="2288" spans="1:19" x14ac:dyDescent="0.25">
      <c r="A2288" s="1">
        <v>0.76596156250000003</v>
      </c>
      <c r="B2288" s="145" t="s">
        <v>165</v>
      </c>
      <c r="C2288">
        <v>2287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1</v>
      </c>
      <c r="M2288">
        <v>1</v>
      </c>
      <c r="N2288">
        <v>1</v>
      </c>
      <c r="O2288">
        <v>1</v>
      </c>
      <c r="P2288">
        <v>1</v>
      </c>
      <c r="Q2288">
        <v>1</v>
      </c>
      <c r="R2288">
        <v>1</v>
      </c>
      <c r="S2288">
        <v>1</v>
      </c>
    </row>
    <row r="2289" spans="1:19" x14ac:dyDescent="0.25">
      <c r="A2289" s="1">
        <v>0.76596168981481483</v>
      </c>
      <c r="B2289" s="145" t="s">
        <v>165</v>
      </c>
      <c r="C2289">
        <v>2288</v>
      </c>
      <c r="D2289">
        <v>1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1</v>
      </c>
      <c r="N2289">
        <v>1</v>
      </c>
      <c r="O2289">
        <v>1</v>
      </c>
      <c r="P2289">
        <v>1</v>
      </c>
      <c r="Q2289">
        <v>1</v>
      </c>
      <c r="R2289">
        <v>1</v>
      </c>
      <c r="S2289">
        <v>1</v>
      </c>
    </row>
    <row r="2290" spans="1:19" x14ac:dyDescent="0.25">
      <c r="A2290" s="1">
        <v>0.76596179398148145</v>
      </c>
      <c r="B2290" s="145" t="s">
        <v>165</v>
      </c>
      <c r="C2290">
        <v>2289</v>
      </c>
      <c r="D2290">
        <v>1</v>
      </c>
      <c r="E2290">
        <v>1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1</v>
      </c>
      <c r="M2290">
        <v>1</v>
      </c>
      <c r="N2290">
        <v>1</v>
      </c>
      <c r="O2290">
        <v>1</v>
      </c>
      <c r="P2290">
        <v>1</v>
      </c>
      <c r="Q2290">
        <v>1</v>
      </c>
      <c r="R2290">
        <v>1</v>
      </c>
      <c r="S2290">
        <v>1</v>
      </c>
    </row>
    <row r="2291" spans="1:19" x14ac:dyDescent="0.25">
      <c r="A2291" s="1">
        <v>0.76596190972222222</v>
      </c>
      <c r="B2291" s="145" t="s">
        <v>2</v>
      </c>
      <c r="C2291">
        <v>2290</v>
      </c>
      <c r="D2291">
        <v>0</v>
      </c>
      <c r="E2291">
        <v>1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1</v>
      </c>
      <c r="M2291">
        <v>1</v>
      </c>
      <c r="N2291">
        <v>1</v>
      </c>
      <c r="O2291">
        <v>1</v>
      </c>
      <c r="P2291">
        <v>1</v>
      </c>
      <c r="Q2291">
        <v>1</v>
      </c>
      <c r="R2291">
        <v>1</v>
      </c>
      <c r="S2291">
        <v>1</v>
      </c>
    </row>
    <row r="2292" spans="1:19" x14ac:dyDescent="0.25">
      <c r="A2292" s="1">
        <v>0.76596202546296299</v>
      </c>
      <c r="B2292" s="145" t="s">
        <v>165</v>
      </c>
      <c r="C2292">
        <v>2291</v>
      </c>
      <c r="D2292">
        <v>1</v>
      </c>
      <c r="E2292">
        <v>1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1</v>
      </c>
      <c r="M2292">
        <v>1</v>
      </c>
      <c r="N2292">
        <v>1</v>
      </c>
      <c r="O2292">
        <v>1</v>
      </c>
      <c r="P2292">
        <v>1</v>
      </c>
      <c r="Q2292">
        <v>1</v>
      </c>
      <c r="R2292">
        <v>1</v>
      </c>
      <c r="S2292">
        <v>1</v>
      </c>
    </row>
    <row r="2293" spans="1:19" x14ac:dyDescent="0.25">
      <c r="A2293" s="1">
        <v>0.76596214120370365</v>
      </c>
      <c r="B2293" s="145" t="s">
        <v>165</v>
      </c>
      <c r="C2293">
        <v>2292</v>
      </c>
      <c r="D2293">
        <v>1</v>
      </c>
      <c r="E2293">
        <v>1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1</v>
      </c>
      <c r="M2293">
        <v>1</v>
      </c>
      <c r="N2293">
        <v>1</v>
      </c>
      <c r="O2293">
        <v>1</v>
      </c>
      <c r="P2293">
        <v>1</v>
      </c>
      <c r="Q2293">
        <v>1</v>
      </c>
      <c r="R2293">
        <v>1</v>
      </c>
      <c r="S2293">
        <v>1</v>
      </c>
    </row>
    <row r="2294" spans="1:19" x14ac:dyDescent="0.25">
      <c r="A2294" s="1">
        <v>0.76596225694444442</v>
      </c>
      <c r="B2294" s="145" t="s">
        <v>165</v>
      </c>
      <c r="C2294">
        <v>2293</v>
      </c>
      <c r="D2294">
        <v>1</v>
      </c>
      <c r="E2294">
        <v>1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1</v>
      </c>
      <c r="M2294">
        <v>1</v>
      </c>
      <c r="N2294">
        <v>1</v>
      </c>
      <c r="O2294">
        <v>1</v>
      </c>
      <c r="P2294">
        <v>1</v>
      </c>
      <c r="Q2294">
        <v>1</v>
      </c>
      <c r="R2294">
        <v>1</v>
      </c>
      <c r="S2294">
        <v>1</v>
      </c>
    </row>
    <row r="2295" spans="1:19" x14ac:dyDescent="0.25">
      <c r="A2295" s="1">
        <v>0.76596237268518519</v>
      </c>
      <c r="B2295" s="145" t="s">
        <v>165</v>
      </c>
      <c r="C2295">
        <v>2294</v>
      </c>
      <c r="D2295">
        <v>1</v>
      </c>
      <c r="E2295">
        <v>1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1</v>
      </c>
      <c r="M2295">
        <v>1</v>
      </c>
      <c r="N2295">
        <v>1</v>
      </c>
      <c r="O2295">
        <v>1</v>
      </c>
      <c r="P2295">
        <v>1</v>
      </c>
      <c r="Q2295">
        <v>1</v>
      </c>
      <c r="R2295">
        <v>1</v>
      </c>
      <c r="S2295">
        <v>1</v>
      </c>
    </row>
    <row r="2296" spans="1:19" x14ac:dyDescent="0.25">
      <c r="A2296" s="1">
        <v>0.76596248842592596</v>
      </c>
      <c r="B2296" s="145" t="s">
        <v>165</v>
      </c>
      <c r="C2296">
        <v>2295</v>
      </c>
      <c r="D2296">
        <v>1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1</v>
      </c>
      <c r="N2296">
        <v>1</v>
      </c>
      <c r="O2296">
        <v>1</v>
      </c>
      <c r="P2296">
        <v>1</v>
      </c>
      <c r="Q2296">
        <v>1</v>
      </c>
      <c r="R2296">
        <v>1</v>
      </c>
      <c r="S2296">
        <v>1</v>
      </c>
    </row>
    <row r="2297" spans="1:19" x14ac:dyDescent="0.25">
      <c r="A2297" s="1">
        <v>0.76596260416666662</v>
      </c>
      <c r="B2297" s="145" t="s">
        <v>2</v>
      </c>
      <c r="C2297">
        <v>2296</v>
      </c>
      <c r="D2297">
        <v>0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1</v>
      </c>
      <c r="N2297">
        <v>1</v>
      </c>
      <c r="O2297">
        <v>1</v>
      </c>
      <c r="P2297">
        <v>1</v>
      </c>
      <c r="Q2297">
        <v>1</v>
      </c>
      <c r="R2297">
        <v>1</v>
      </c>
      <c r="S2297">
        <v>1</v>
      </c>
    </row>
    <row r="2298" spans="1:19" x14ac:dyDescent="0.25">
      <c r="A2298" s="1">
        <v>0.76596271990740739</v>
      </c>
      <c r="B2298" s="145" t="s">
        <v>165</v>
      </c>
      <c r="C2298">
        <v>2297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1</v>
      </c>
      <c r="N2298">
        <v>1</v>
      </c>
      <c r="O2298">
        <v>1</v>
      </c>
      <c r="P2298">
        <v>1</v>
      </c>
      <c r="Q2298">
        <v>1</v>
      </c>
      <c r="R2298">
        <v>1</v>
      </c>
      <c r="S2298">
        <v>1</v>
      </c>
    </row>
    <row r="2299" spans="1:19" x14ac:dyDescent="0.25">
      <c r="A2299" s="1">
        <v>0.76596283564814815</v>
      </c>
      <c r="B2299" s="145" t="s">
        <v>165</v>
      </c>
      <c r="C2299">
        <v>2298</v>
      </c>
      <c r="D2299">
        <v>1</v>
      </c>
      <c r="E2299">
        <v>1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1</v>
      </c>
      <c r="N2299">
        <v>1</v>
      </c>
      <c r="O2299">
        <v>1</v>
      </c>
      <c r="P2299">
        <v>1</v>
      </c>
      <c r="Q2299">
        <v>1</v>
      </c>
      <c r="R2299">
        <v>1</v>
      </c>
      <c r="S2299">
        <v>1</v>
      </c>
    </row>
    <row r="2300" spans="1:19" x14ac:dyDescent="0.25">
      <c r="A2300" s="1">
        <v>0.76596295138888892</v>
      </c>
      <c r="B2300" s="145" t="s">
        <v>165</v>
      </c>
      <c r="C2300">
        <v>2299</v>
      </c>
      <c r="D2300">
        <v>1</v>
      </c>
      <c r="E2300">
        <v>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1</v>
      </c>
      <c r="O2300">
        <v>1</v>
      </c>
      <c r="P2300">
        <v>1</v>
      </c>
      <c r="Q2300">
        <v>1</v>
      </c>
      <c r="R2300">
        <v>1</v>
      </c>
      <c r="S2300">
        <v>1</v>
      </c>
    </row>
    <row r="2301" spans="1:19" x14ac:dyDescent="0.25">
      <c r="A2301" s="1">
        <v>0.76596306712962958</v>
      </c>
      <c r="B2301" s="145" t="s">
        <v>165</v>
      </c>
      <c r="C2301">
        <v>2300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1</v>
      </c>
      <c r="N2301">
        <v>1</v>
      </c>
      <c r="O2301">
        <v>1</v>
      </c>
      <c r="P2301">
        <v>1</v>
      </c>
      <c r="Q2301">
        <v>1</v>
      </c>
      <c r="R2301">
        <v>1</v>
      </c>
      <c r="S2301">
        <v>1</v>
      </c>
    </row>
    <row r="2302" spans="1:19" x14ac:dyDescent="0.25">
      <c r="A2302" s="1">
        <v>0.76596318287037035</v>
      </c>
      <c r="B2302" s="145" t="s">
        <v>165</v>
      </c>
      <c r="C2302">
        <v>2301</v>
      </c>
      <c r="D2302">
        <v>1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1</v>
      </c>
      <c r="M2302">
        <v>1</v>
      </c>
      <c r="N2302">
        <v>1</v>
      </c>
      <c r="O2302">
        <v>1</v>
      </c>
      <c r="P2302">
        <v>1</v>
      </c>
      <c r="Q2302">
        <v>1</v>
      </c>
      <c r="R2302">
        <v>1</v>
      </c>
      <c r="S2302">
        <v>1</v>
      </c>
    </row>
    <row r="2303" spans="1:19" x14ac:dyDescent="0.25">
      <c r="A2303" s="1">
        <v>0.76596329861111112</v>
      </c>
      <c r="B2303" s="145" t="s">
        <v>2</v>
      </c>
      <c r="C2303">
        <v>2302</v>
      </c>
      <c r="D2303">
        <v>0</v>
      </c>
      <c r="E2303">
        <v>1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1</v>
      </c>
      <c r="N2303">
        <v>1</v>
      </c>
      <c r="O2303">
        <v>1</v>
      </c>
      <c r="P2303">
        <v>1</v>
      </c>
      <c r="Q2303">
        <v>1</v>
      </c>
      <c r="R2303">
        <v>1</v>
      </c>
      <c r="S2303">
        <v>1</v>
      </c>
    </row>
    <row r="2304" spans="1:19" x14ac:dyDescent="0.25">
      <c r="A2304" s="1">
        <v>0.76596341435185189</v>
      </c>
      <c r="B2304" s="145" t="s">
        <v>165</v>
      </c>
      <c r="C2304">
        <v>2303</v>
      </c>
      <c r="D2304">
        <v>1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1</v>
      </c>
      <c r="N2304">
        <v>1</v>
      </c>
      <c r="O2304">
        <v>1</v>
      </c>
      <c r="P2304">
        <v>1</v>
      </c>
      <c r="Q2304">
        <v>1</v>
      </c>
      <c r="R2304">
        <v>1</v>
      </c>
      <c r="S2304">
        <v>1</v>
      </c>
    </row>
    <row r="2305" spans="1:19" x14ac:dyDescent="0.25">
      <c r="A2305" s="1">
        <v>0.76596353009259255</v>
      </c>
      <c r="B2305" s="145" t="s">
        <v>165</v>
      </c>
      <c r="C2305">
        <v>2304</v>
      </c>
      <c r="D2305">
        <v>1</v>
      </c>
      <c r="E2305">
        <v>1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1</v>
      </c>
      <c r="S2305">
        <v>1</v>
      </c>
    </row>
    <row r="2306" spans="1:19" x14ac:dyDescent="0.25">
      <c r="A2306" s="1">
        <v>0.76596364583333332</v>
      </c>
      <c r="B2306" s="145" t="s">
        <v>165</v>
      </c>
      <c r="C2306">
        <v>2305</v>
      </c>
      <c r="D2306">
        <v>1</v>
      </c>
      <c r="E2306">
        <v>1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1</v>
      </c>
      <c r="N2306">
        <v>1</v>
      </c>
      <c r="O2306">
        <v>1</v>
      </c>
      <c r="P2306">
        <v>1</v>
      </c>
      <c r="Q2306">
        <v>1</v>
      </c>
      <c r="R2306">
        <v>1</v>
      </c>
      <c r="S2306">
        <v>1</v>
      </c>
    </row>
    <row r="2307" spans="1:19" x14ac:dyDescent="0.25">
      <c r="A2307" s="1">
        <v>0.76596376157407409</v>
      </c>
      <c r="B2307" s="145" t="s">
        <v>165</v>
      </c>
      <c r="C2307">
        <v>2306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1</v>
      </c>
      <c r="N2307">
        <v>1</v>
      </c>
      <c r="O2307">
        <v>1</v>
      </c>
      <c r="P2307">
        <v>1</v>
      </c>
      <c r="Q2307">
        <v>1</v>
      </c>
      <c r="R2307">
        <v>1</v>
      </c>
      <c r="S2307">
        <v>1</v>
      </c>
    </row>
    <row r="2308" spans="1:19" x14ac:dyDescent="0.25">
      <c r="A2308" s="1">
        <v>0.76596387731481486</v>
      </c>
      <c r="B2308" s="145" t="s">
        <v>165</v>
      </c>
      <c r="C2308">
        <v>2307</v>
      </c>
      <c r="D2308">
        <v>1</v>
      </c>
      <c r="E2308">
        <v>1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1</v>
      </c>
      <c r="O2308">
        <v>1</v>
      </c>
      <c r="P2308">
        <v>1</v>
      </c>
      <c r="Q2308">
        <v>1</v>
      </c>
      <c r="R2308">
        <v>1</v>
      </c>
      <c r="S2308">
        <v>1</v>
      </c>
    </row>
    <row r="2309" spans="1:19" x14ac:dyDescent="0.25">
      <c r="A2309" s="1">
        <v>0.76596399305555551</v>
      </c>
      <c r="B2309" s="145" t="s">
        <v>2</v>
      </c>
      <c r="C2309">
        <v>2308</v>
      </c>
      <c r="D2309">
        <v>0</v>
      </c>
      <c r="E2309">
        <v>1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1</v>
      </c>
      <c r="N2309">
        <v>1</v>
      </c>
      <c r="O2309">
        <v>1</v>
      </c>
      <c r="P2309">
        <v>1</v>
      </c>
      <c r="Q2309">
        <v>1</v>
      </c>
      <c r="R2309">
        <v>1</v>
      </c>
      <c r="S2309">
        <v>1</v>
      </c>
    </row>
    <row r="2310" spans="1:19" x14ac:dyDescent="0.25">
      <c r="A2310" s="1">
        <v>0.76596410879629628</v>
      </c>
      <c r="B2310" s="145" t="s">
        <v>165</v>
      </c>
      <c r="C2310">
        <v>2309</v>
      </c>
      <c r="D2310">
        <v>1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</row>
    <row r="2311" spans="1:19" x14ac:dyDescent="0.25">
      <c r="A2311" s="1">
        <v>0.76596422453703705</v>
      </c>
      <c r="B2311" s="145" t="s">
        <v>165</v>
      </c>
      <c r="C2311">
        <v>2310</v>
      </c>
      <c r="D2311">
        <v>1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1</v>
      </c>
      <c r="M2311">
        <v>1</v>
      </c>
      <c r="N2311">
        <v>1</v>
      </c>
      <c r="O2311">
        <v>1</v>
      </c>
      <c r="P2311">
        <v>1</v>
      </c>
      <c r="Q2311">
        <v>1</v>
      </c>
      <c r="R2311">
        <v>1</v>
      </c>
      <c r="S2311">
        <v>1</v>
      </c>
    </row>
    <row r="2312" spans="1:19" x14ac:dyDescent="0.25">
      <c r="A2312" s="1">
        <v>0.76596434027777782</v>
      </c>
      <c r="B2312" s="145" t="s">
        <v>165</v>
      </c>
      <c r="C2312">
        <v>2311</v>
      </c>
      <c r="D2312">
        <v>1</v>
      </c>
      <c r="E2312">
        <v>1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1</v>
      </c>
      <c r="N2312">
        <v>1</v>
      </c>
      <c r="O2312">
        <v>1</v>
      </c>
      <c r="P2312">
        <v>1</v>
      </c>
      <c r="Q2312">
        <v>1</v>
      </c>
      <c r="R2312">
        <v>1</v>
      </c>
      <c r="S2312">
        <v>1</v>
      </c>
    </row>
    <row r="2313" spans="1:19" x14ac:dyDescent="0.25">
      <c r="A2313" s="1">
        <v>0.76596445601851848</v>
      </c>
      <c r="B2313" s="145" t="s">
        <v>165</v>
      </c>
      <c r="C2313">
        <v>2312</v>
      </c>
      <c r="D2313">
        <v>1</v>
      </c>
      <c r="E2313">
        <v>1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1</v>
      </c>
      <c r="M2313">
        <v>1</v>
      </c>
      <c r="N2313">
        <v>1</v>
      </c>
      <c r="O2313">
        <v>1</v>
      </c>
      <c r="P2313">
        <v>1</v>
      </c>
      <c r="Q2313">
        <v>1</v>
      </c>
      <c r="R2313">
        <v>1</v>
      </c>
      <c r="S2313">
        <v>1</v>
      </c>
    </row>
    <row r="2314" spans="1:19" x14ac:dyDescent="0.25">
      <c r="A2314" s="1">
        <v>0.76596457175925925</v>
      </c>
      <c r="B2314" s="145" t="s">
        <v>165</v>
      </c>
      <c r="C2314">
        <v>2313</v>
      </c>
      <c r="D2314">
        <v>1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1</v>
      </c>
      <c r="M2314">
        <v>1</v>
      </c>
      <c r="N2314">
        <v>1</v>
      </c>
      <c r="O2314">
        <v>1</v>
      </c>
      <c r="P2314">
        <v>1</v>
      </c>
      <c r="Q2314">
        <v>1</v>
      </c>
      <c r="R2314">
        <v>1</v>
      </c>
      <c r="S2314">
        <v>1</v>
      </c>
    </row>
    <row r="2315" spans="1:19" x14ac:dyDescent="0.25">
      <c r="A2315" s="1">
        <v>0.76596468750000002</v>
      </c>
      <c r="B2315" s="145" t="s">
        <v>2</v>
      </c>
      <c r="C2315">
        <v>2314</v>
      </c>
      <c r="D2315">
        <v>0</v>
      </c>
      <c r="E2315">
        <v>1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1</v>
      </c>
      <c r="M2315">
        <v>1</v>
      </c>
      <c r="N2315">
        <v>1</v>
      </c>
      <c r="O2315">
        <v>1</v>
      </c>
      <c r="P2315">
        <v>1</v>
      </c>
      <c r="Q2315">
        <v>1</v>
      </c>
      <c r="R2315">
        <v>1</v>
      </c>
      <c r="S2315">
        <v>1</v>
      </c>
    </row>
    <row r="2316" spans="1:19" x14ac:dyDescent="0.25">
      <c r="A2316" s="1">
        <v>0.76596480324074079</v>
      </c>
      <c r="B2316" s="145" t="s">
        <v>165</v>
      </c>
      <c r="C2316">
        <v>2315</v>
      </c>
      <c r="D2316">
        <v>1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1</v>
      </c>
      <c r="M2316">
        <v>1</v>
      </c>
      <c r="N2316">
        <v>1</v>
      </c>
      <c r="O2316">
        <v>1</v>
      </c>
      <c r="P2316">
        <v>1</v>
      </c>
      <c r="Q2316">
        <v>1</v>
      </c>
      <c r="R2316">
        <v>1</v>
      </c>
      <c r="S2316">
        <v>1</v>
      </c>
    </row>
    <row r="2317" spans="1:19" x14ac:dyDescent="0.25">
      <c r="A2317" s="1">
        <v>0.76596491898148145</v>
      </c>
      <c r="B2317" s="145" t="s">
        <v>165</v>
      </c>
      <c r="C2317">
        <v>2316</v>
      </c>
      <c r="D2317">
        <v>1</v>
      </c>
      <c r="E2317">
        <v>1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</v>
      </c>
      <c r="N2317">
        <v>1</v>
      </c>
      <c r="O2317">
        <v>1</v>
      </c>
      <c r="P2317">
        <v>1</v>
      </c>
      <c r="Q2317">
        <v>1</v>
      </c>
      <c r="R2317">
        <v>1</v>
      </c>
      <c r="S2317">
        <v>1</v>
      </c>
    </row>
    <row r="2318" spans="1:19" x14ac:dyDescent="0.25">
      <c r="A2318" s="1">
        <v>0.76596503472222222</v>
      </c>
      <c r="B2318" s="145" t="s">
        <v>165</v>
      </c>
      <c r="C2318">
        <v>2317</v>
      </c>
      <c r="D2318">
        <v>1</v>
      </c>
      <c r="E2318">
        <v>1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1</v>
      </c>
      <c r="O2318">
        <v>1</v>
      </c>
      <c r="P2318">
        <v>1</v>
      </c>
      <c r="Q2318">
        <v>1</v>
      </c>
      <c r="R2318">
        <v>1</v>
      </c>
      <c r="S2318">
        <v>1</v>
      </c>
    </row>
    <row r="2319" spans="1:19" x14ac:dyDescent="0.25">
      <c r="A2319" s="1">
        <v>0.76596515046296298</v>
      </c>
      <c r="B2319" s="145" t="s">
        <v>165</v>
      </c>
      <c r="C2319">
        <v>2318</v>
      </c>
      <c r="D2319">
        <v>1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1</v>
      </c>
    </row>
    <row r="2320" spans="1:19" x14ac:dyDescent="0.25">
      <c r="A2320" s="1">
        <v>0.76596526620370375</v>
      </c>
      <c r="B2320" s="145" t="s">
        <v>165</v>
      </c>
      <c r="C2320">
        <v>2319</v>
      </c>
      <c r="D2320">
        <v>1</v>
      </c>
      <c r="E2320">
        <v>1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1</v>
      </c>
      <c r="O2320">
        <v>1</v>
      </c>
      <c r="P2320">
        <v>1</v>
      </c>
      <c r="Q2320">
        <v>1</v>
      </c>
      <c r="R2320">
        <v>1</v>
      </c>
      <c r="S2320">
        <v>1</v>
      </c>
    </row>
    <row r="2321" spans="1:19" x14ac:dyDescent="0.25">
      <c r="A2321" s="1">
        <v>0.76596538194444441</v>
      </c>
      <c r="B2321" s="145" t="s">
        <v>2</v>
      </c>
      <c r="C2321">
        <v>2320</v>
      </c>
      <c r="D2321">
        <v>0</v>
      </c>
      <c r="E2321">
        <v>1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1</v>
      </c>
      <c r="M2321">
        <v>1</v>
      </c>
      <c r="N2321">
        <v>1</v>
      </c>
      <c r="O2321">
        <v>1</v>
      </c>
      <c r="P2321">
        <v>1</v>
      </c>
      <c r="Q2321">
        <v>1</v>
      </c>
      <c r="R2321">
        <v>1</v>
      </c>
      <c r="S2321">
        <v>1</v>
      </c>
    </row>
    <row r="2322" spans="1:19" x14ac:dyDescent="0.25">
      <c r="A2322" s="1">
        <v>0.76596549768518518</v>
      </c>
      <c r="B2322" s="145" t="s">
        <v>165</v>
      </c>
      <c r="C2322">
        <v>2321</v>
      </c>
      <c r="D2322">
        <v>1</v>
      </c>
      <c r="E2322">
        <v>1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1</v>
      </c>
      <c r="M2322">
        <v>1</v>
      </c>
      <c r="N2322">
        <v>1</v>
      </c>
      <c r="O2322">
        <v>1</v>
      </c>
      <c r="P2322">
        <v>1</v>
      </c>
      <c r="Q2322">
        <v>1</v>
      </c>
      <c r="R2322">
        <v>1</v>
      </c>
      <c r="S2322">
        <v>1</v>
      </c>
    </row>
    <row r="2323" spans="1:19" x14ac:dyDescent="0.25">
      <c r="A2323" s="1">
        <v>0.76596561342592595</v>
      </c>
      <c r="B2323" s="145" t="s">
        <v>165</v>
      </c>
      <c r="C2323">
        <v>2322</v>
      </c>
      <c r="D2323">
        <v>1</v>
      </c>
      <c r="E2323">
        <v>1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1</v>
      </c>
      <c r="N2323">
        <v>1</v>
      </c>
      <c r="O2323">
        <v>1</v>
      </c>
      <c r="P2323">
        <v>1</v>
      </c>
      <c r="Q2323">
        <v>1</v>
      </c>
      <c r="R2323">
        <v>1</v>
      </c>
      <c r="S2323">
        <v>1</v>
      </c>
    </row>
    <row r="2324" spans="1:19" x14ac:dyDescent="0.25">
      <c r="A2324" s="1">
        <v>0.76596572916666672</v>
      </c>
      <c r="B2324" s="145" t="s">
        <v>165</v>
      </c>
      <c r="C2324">
        <v>2323</v>
      </c>
      <c r="D2324">
        <v>1</v>
      </c>
      <c r="E2324">
        <v>1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1</v>
      </c>
      <c r="M2324">
        <v>1</v>
      </c>
      <c r="N2324">
        <v>1</v>
      </c>
      <c r="O2324">
        <v>1</v>
      </c>
      <c r="P2324">
        <v>1</v>
      </c>
      <c r="Q2324">
        <v>1</v>
      </c>
      <c r="R2324">
        <v>1</v>
      </c>
      <c r="S2324">
        <v>1</v>
      </c>
    </row>
    <row r="2325" spans="1:19" x14ac:dyDescent="0.25">
      <c r="A2325" s="1">
        <v>0.76596584490740738</v>
      </c>
      <c r="B2325" s="145" t="s">
        <v>165</v>
      </c>
      <c r="C2325">
        <v>2324</v>
      </c>
      <c r="D2325">
        <v>1</v>
      </c>
      <c r="E2325">
        <v>1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1</v>
      </c>
      <c r="M2325">
        <v>1</v>
      </c>
      <c r="N2325">
        <v>1</v>
      </c>
      <c r="O2325">
        <v>1</v>
      </c>
      <c r="P2325">
        <v>1</v>
      </c>
      <c r="Q2325">
        <v>1</v>
      </c>
      <c r="R2325">
        <v>1</v>
      </c>
      <c r="S2325">
        <v>1</v>
      </c>
    </row>
    <row r="2326" spans="1:19" x14ac:dyDescent="0.25">
      <c r="A2326" s="1">
        <v>0.76596596064814815</v>
      </c>
      <c r="B2326" s="145" t="s">
        <v>165</v>
      </c>
      <c r="C2326">
        <v>2325</v>
      </c>
      <c r="D2326">
        <v>1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1</v>
      </c>
      <c r="M2326">
        <v>1</v>
      </c>
      <c r="N2326">
        <v>1</v>
      </c>
      <c r="O2326">
        <v>1</v>
      </c>
      <c r="P2326">
        <v>1</v>
      </c>
      <c r="Q2326">
        <v>1</v>
      </c>
      <c r="R2326">
        <v>1</v>
      </c>
      <c r="S2326">
        <v>1</v>
      </c>
    </row>
    <row r="2327" spans="1:19" x14ac:dyDescent="0.25">
      <c r="A2327" s="1">
        <v>0.76596607638888892</v>
      </c>
      <c r="B2327" s="145" t="s">
        <v>2</v>
      </c>
      <c r="C2327">
        <v>2326</v>
      </c>
      <c r="D2327">
        <v>0</v>
      </c>
      <c r="E2327">
        <v>1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1</v>
      </c>
      <c r="N2327">
        <v>1</v>
      </c>
      <c r="O2327">
        <v>1</v>
      </c>
      <c r="P2327">
        <v>1</v>
      </c>
      <c r="Q2327">
        <v>1</v>
      </c>
      <c r="R2327">
        <v>1</v>
      </c>
      <c r="S2327">
        <v>1</v>
      </c>
    </row>
    <row r="2328" spans="1:19" x14ac:dyDescent="0.25">
      <c r="A2328" s="1">
        <v>0.76596619212962958</v>
      </c>
      <c r="B2328" s="145" t="s">
        <v>165</v>
      </c>
      <c r="C2328">
        <v>2327</v>
      </c>
      <c r="D2328">
        <v>1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1</v>
      </c>
      <c r="N2328">
        <v>1</v>
      </c>
      <c r="O2328">
        <v>1</v>
      </c>
      <c r="P2328">
        <v>1</v>
      </c>
      <c r="Q2328">
        <v>1</v>
      </c>
      <c r="R2328">
        <v>1</v>
      </c>
      <c r="S2328">
        <v>1</v>
      </c>
    </row>
    <row r="2329" spans="1:19" x14ac:dyDescent="0.25">
      <c r="A2329" s="1">
        <v>0.76596630787037034</v>
      </c>
      <c r="B2329" s="145" t="s">
        <v>165</v>
      </c>
      <c r="C2329">
        <v>2328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1</v>
      </c>
      <c r="M2329">
        <v>1</v>
      </c>
      <c r="N2329">
        <v>1</v>
      </c>
      <c r="O2329">
        <v>1</v>
      </c>
      <c r="P2329">
        <v>1</v>
      </c>
      <c r="Q2329">
        <v>1</v>
      </c>
      <c r="R2329">
        <v>1</v>
      </c>
      <c r="S2329">
        <v>1</v>
      </c>
    </row>
    <row r="2330" spans="1:19" x14ac:dyDescent="0.25">
      <c r="A2330" s="1">
        <v>0.76596642361111111</v>
      </c>
      <c r="B2330" s="145" t="s">
        <v>165</v>
      </c>
      <c r="C2330">
        <v>2329</v>
      </c>
      <c r="D2330">
        <v>1</v>
      </c>
      <c r="E2330">
        <v>1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1</v>
      </c>
      <c r="N2330">
        <v>1</v>
      </c>
      <c r="O2330">
        <v>1</v>
      </c>
      <c r="P2330">
        <v>1</v>
      </c>
      <c r="Q2330">
        <v>1</v>
      </c>
      <c r="R2330">
        <v>1</v>
      </c>
      <c r="S2330">
        <v>1</v>
      </c>
    </row>
    <row r="2331" spans="1:19" x14ac:dyDescent="0.25">
      <c r="A2331" s="1">
        <v>0.76596653935185188</v>
      </c>
      <c r="B2331" s="145" t="s">
        <v>165</v>
      </c>
      <c r="C2331">
        <v>2330</v>
      </c>
      <c r="D2331">
        <v>1</v>
      </c>
      <c r="E2331">
        <v>1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1</v>
      </c>
      <c r="M2331">
        <v>1</v>
      </c>
      <c r="N2331">
        <v>1</v>
      </c>
      <c r="O2331">
        <v>1</v>
      </c>
      <c r="P2331">
        <v>1</v>
      </c>
      <c r="Q2331">
        <v>1</v>
      </c>
      <c r="R2331">
        <v>1</v>
      </c>
      <c r="S2331">
        <v>1</v>
      </c>
    </row>
    <row r="2332" spans="1:19" x14ac:dyDescent="0.25">
      <c r="A2332" s="1">
        <v>0.76596665509259254</v>
      </c>
      <c r="B2332" s="145" t="s">
        <v>165</v>
      </c>
      <c r="C2332">
        <v>2331</v>
      </c>
      <c r="D2332">
        <v>1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1</v>
      </c>
      <c r="N2332">
        <v>1</v>
      </c>
      <c r="O2332">
        <v>1</v>
      </c>
      <c r="P2332">
        <v>1</v>
      </c>
      <c r="Q2332">
        <v>1</v>
      </c>
      <c r="R2332">
        <v>1</v>
      </c>
      <c r="S2332">
        <v>1</v>
      </c>
    </row>
    <row r="2333" spans="1:19" x14ac:dyDescent="0.25">
      <c r="A2333" s="1">
        <v>0.76596677083333331</v>
      </c>
      <c r="B2333" s="145" t="s">
        <v>2</v>
      </c>
      <c r="C2333">
        <v>2332</v>
      </c>
      <c r="D2333">
        <v>0</v>
      </c>
      <c r="E2333">
        <v>1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1</v>
      </c>
      <c r="N2333">
        <v>1</v>
      </c>
      <c r="O2333">
        <v>1</v>
      </c>
      <c r="P2333">
        <v>1</v>
      </c>
      <c r="Q2333">
        <v>1</v>
      </c>
      <c r="R2333">
        <v>1</v>
      </c>
      <c r="S2333">
        <v>1</v>
      </c>
    </row>
    <row r="2334" spans="1:19" x14ac:dyDescent="0.25">
      <c r="A2334" s="1">
        <v>0.76596688657407408</v>
      </c>
      <c r="B2334" s="145" t="s">
        <v>165</v>
      </c>
      <c r="C2334">
        <v>2333</v>
      </c>
      <c r="D2334">
        <v>1</v>
      </c>
      <c r="E2334">
        <v>1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1</v>
      </c>
      <c r="M2334">
        <v>1</v>
      </c>
      <c r="N2334">
        <v>1</v>
      </c>
      <c r="O2334">
        <v>1</v>
      </c>
      <c r="P2334">
        <v>1</v>
      </c>
      <c r="Q2334">
        <v>1</v>
      </c>
      <c r="R2334">
        <v>1</v>
      </c>
      <c r="S2334">
        <v>1</v>
      </c>
    </row>
    <row r="2335" spans="1:19" x14ac:dyDescent="0.25">
      <c r="A2335" s="1">
        <v>0.76596700231481485</v>
      </c>
      <c r="B2335" s="145" t="s">
        <v>165</v>
      </c>
      <c r="C2335">
        <v>2334</v>
      </c>
      <c r="D2335">
        <v>1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1</v>
      </c>
      <c r="M2335">
        <v>1</v>
      </c>
      <c r="N2335">
        <v>1</v>
      </c>
      <c r="O2335">
        <v>1</v>
      </c>
      <c r="P2335">
        <v>1</v>
      </c>
      <c r="Q2335">
        <v>1</v>
      </c>
      <c r="R2335">
        <v>1</v>
      </c>
      <c r="S2335">
        <v>1</v>
      </c>
    </row>
    <row r="2336" spans="1:19" x14ac:dyDescent="0.25">
      <c r="A2336" s="1">
        <v>0.76596711805555551</v>
      </c>
      <c r="B2336" s="145" t="s">
        <v>165</v>
      </c>
      <c r="C2336">
        <v>2335</v>
      </c>
      <c r="D2336">
        <v>1</v>
      </c>
      <c r="E2336">
        <v>1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1</v>
      </c>
      <c r="N2336">
        <v>1</v>
      </c>
      <c r="O2336">
        <v>1</v>
      </c>
      <c r="P2336">
        <v>1</v>
      </c>
      <c r="Q2336">
        <v>1</v>
      </c>
      <c r="R2336">
        <v>1</v>
      </c>
      <c r="S2336">
        <v>1</v>
      </c>
    </row>
    <row r="2337" spans="1:19" x14ac:dyDescent="0.25">
      <c r="A2337" s="1">
        <v>0.76596723379629628</v>
      </c>
      <c r="B2337" s="145" t="s">
        <v>165</v>
      </c>
      <c r="C2337">
        <v>2336</v>
      </c>
      <c r="D2337">
        <v>1</v>
      </c>
      <c r="E2337">
        <v>1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1</v>
      </c>
      <c r="M2337">
        <v>1</v>
      </c>
      <c r="N2337">
        <v>1</v>
      </c>
      <c r="O2337">
        <v>1</v>
      </c>
      <c r="P2337">
        <v>1</v>
      </c>
      <c r="Q2337">
        <v>1</v>
      </c>
      <c r="R2337">
        <v>1</v>
      </c>
      <c r="S2337">
        <v>1</v>
      </c>
    </row>
    <row r="2338" spans="1:19" x14ac:dyDescent="0.25">
      <c r="A2338" s="1">
        <v>0.76596734953703705</v>
      </c>
      <c r="B2338" s="145" t="s">
        <v>165</v>
      </c>
      <c r="C2338">
        <v>2337</v>
      </c>
      <c r="D2338">
        <v>1</v>
      </c>
      <c r="E2338">
        <v>1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1</v>
      </c>
      <c r="M2338">
        <v>1</v>
      </c>
      <c r="N2338">
        <v>1</v>
      </c>
      <c r="O2338">
        <v>1</v>
      </c>
      <c r="P2338">
        <v>1</v>
      </c>
      <c r="Q2338">
        <v>1</v>
      </c>
      <c r="R2338">
        <v>1</v>
      </c>
      <c r="S2338">
        <v>1</v>
      </c>
    </row>
    <row r="2339" spans="1:19" x14ac:dyDescent="0.25">
      <c r="A2339" s="1">
        <v>0.76596746527777781</v>
      </c>
      <c r="B2339" s="145" t="s">
        <v>2</v>
      </c>
      <c r="C2339">
        <v>2338</v>
      </c>
      <c r="D2339">
        <v>0</v>
      </c>
      <c r="E2339">
        <v>1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1</v>
      </c>
      <c r="N2339">
        <v>1</v>
      </c>
      <c r="O2339">
        <v>1</v>
      </c>
      <c r="P2339">
        <v>1</v>
      </c>
      <c r="Q2339">
        <v>1</v>
      </c>
      <c r="R2339">
        <v>1</v>
      </c>
      <c r="S2339">
        <v>1</v>
      </c>
    </row>
    <row r="2340" spans="1:19" x14ac:dyDescent="0.25">
      <c r="A2340" s="1">
        <v>0.76596758101851847</v>
      </c>
      <c r="B2340" s="145" t="s">
        <v>165</v>
      </c>
      <c r="C2340">
        <v>2339</v>
      </c>
      <c r="D2340">
        <v>1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1</v>
      </c>
      <c r="O2340">
        <v>1</v>
      </c>
      <c r="P2340">
        <v>1</v>
      </c>
      <c r="Q2340">
        <v>1</v>
      </c>
      <c r="R2340">
        <v>1</v>
      </c>
      <c r="S2340">
        <v>1</v>
      </c>
    </row>
    <row r="2341" spans="1:19" x14ac:dyDescent="0.25">
      <c r="A2341" s="1">
        <v>0.76596769675925924</v>
      </c>
      <c r="B2341" s="145" t="s">
        <v>165</v>
      </c>
      <c r="C2341">
        <v>2340</v>
      </c>
      <c r="D2341">
        <v>1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1</v>
      </c>
      <c r="N2341">
        <v>1</v>
      </c>
      <c r="O2341">
        <v>1</v>
      </c>
      <c r="P2341">
        <v>1</v>
      </c>
      <c r="Q2341">
        <v>1</v>
      </c>
      <c r="R2341">
        <v>1</v>
      </c>
      <c r="S2341">
        <v>1</v>
      </c>
    </row>
    <row r="2342" spans="1:19" x14ac:dyDescent="0.25">
      <c r="A2342" s="1">
        <v>0.76596781250000001</v>
      </c>
      <c r="B2342" s="145" t="s">
        <v>165</v>
      </c>
      <c r="C2342">
        <v>2341</v>
      </c>
      <c r="D2342">
        <v>1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1</v>
      </c>
      <c r="O2342">
        <v>1</v>
      </c>
      <c r="P2342">
        <v>1</v>
      </c>
      <c r="Q2342">
        <v>1</v>
      </c>
      <c r="R2342">
        <v>1</v>
      </c>
      <c r="S2342">
        <v>1</v>
      </c>
    </row>
    <row r="2343" spans="1:19" x14ac:dyDescent="0.25">
      <c r="A2343" s="1">
        <v>0.76596791666666664</v>
      </c>
      <c r="B2343" s="145" t="s">
        <v>165</v>
      </c>
      <c r="C2343">
        <v>2342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1</v>
      </c>
      <c r="N2343">
        <v>1</v>
      </c>
      <c r="O2343">
        <v>1</v>
      </c>
      <c r="P2343">
        <v>1</v>
      </c>
      <c r="Q2343">
        <v>1</v>
      </c>
      <c r="R2343">
        <v>1</v>
      </c>
      <c r="S2343">
        <v>1</v>
      </c>
    </row>
    <row r="2344" spans="1:19" x14ac:dyDescent="0.25">
      <c r="A2344" s="1">
        <v>0.76596803240740741</v>
      </c>
      <c r="B2344" s="145" t="s">
        <v>165</v>
      </c>
      <c r="C2344">
        <v>2343</v>
      </c>
      <c r="D2344">
        <v>1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1</v>
      </c>
      <c r="M2344">
        <v>1</v>
      </c>
      <c r="N2344">
        <v>1</v>
      </c>
      <c r="O2344">
        <v>1</v>
      </c>
      <c r="P2344">
        <v>1</v>
      </c>
      <c r="Q2344">
        <v>1</v>
      </c>
      <c r="R2344">
        <v>1</v>
      </c>
      <c r="S2344">
        <v>1</v>
      </c>
    </row>
    <row r="2345" spans="1:19" x14ac:dyDescent="0.25">
      <c r="A2345" s="1">
        <v>0.76596814814814818</v>
      </c>
      <c r="B2345" s="145" t="s">
        <v>2</v>
      </c>
      <c r="C2345">
        <v>2344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1</v>
      </c>
      <c r="M2345">
        <v>1</v>
      </c>
      <c r="N2345">
        <v>1</v>
      </c>
      <c r="O2345">
        <v>1</v>
      </c>
      <c r="P2345">
        <v>1</v>
      </c>
      <c r="Q2345">
        <v>1</v>
      </c>
      <c r="R2345">
        <v>1</v>
      </c>
      <c r="S2345">
        <v>1</v>
      </c>
    </row>
    <row r="2346" spans="1:19" x14ac:dyDescent="0.25">
      <c r="A2346" s="1">
        <v>0.76596826388888883</v>
      </c>
      <c r="B2346" s="145" t="s">
        <v>165</v>
      </c>
      <c r="C2346">
        <v>2345</v>
      </c>
      <c r="D2346">
        <v>1</v>
      </c>
      <c r="E2346">
        <v>1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1</v>
      </c>
      <c r="M2346">
        <v>1</v>
      </c>
      <c r="N2346">
        <v>1</v>
      </c>
      <c r="O2346">
        <v>1</v>
      </c>
      <c r="P2346">
        <v>1</v>
      </c>
      <c r="Q2346">
        <v>1</v>
      </c>
      <c r="R2346">
        <v>1</v>
      </c>
      <c r="S2346">
        <v>1</v>
      </c>
    </row>
    <row r="2347" spans="1:19" x14ac:dyDescent="0.25">
      <c r="A2347" s="1">
        <v>0.7659683796296296</v>
      </c>
      <c r="B2347" s="145" t="s">
        <v>165</v>
      </c>
      <c r="C2347">
        <v>2346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</v>
      </c>
      <c r="N2347">
        <v>1</v>
      </c>
      <c r="O2347">
        <v>1</v>
      </c>
      <c r="P2347">
        <v>1</v>
      </c>
      <c r="Q2347">
        <v>1</v>
      </c>
      <c r="R2347">
        <v>1</v>
      </c>
      <c r="S2347">
        <v>1</v>
      </c>
    </row>
    <row r="2348" spans="1:19" x14ac:dyDescent="0.25">
      <c r="A2348" s="1">
        <v>0.76596849537037037</v>
      </c>
      <c r="B2348" s="145" t="s">
        <v>165</v>
      </c>
      <c r="C2348">
        <v>2347</v>
      </c>
      <c r="D2348">
        <v>1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1</v>
      </c>
      <c r="M2348">
        <v>1</v>
      </c>
      <c r="N2348">
        <v>1</v>
      </c>
      <c r="O2348">
        <v>1</v>
      </c>
      <c r="P2348">
        <v>1</v>
      </c>
      <c r="Q2348">
        <v>1</v>
      </c>
      <c r="R2348">
        <v>1</v>
      </c>
      <c r="S2348">
        <v>1</v>
      </c>
    </row>
    <row r="2349" spans="1:19" x14ac:dyDescent="0.25">
      <c r="A2349" s="1">
        <v>0.7659687268518518</v>
      </c>
      <c r="B2349" s="145" t="s">
        <v>165</v>
      </c>
      <c r="C2349">
        <v>2348</v>
      </c>
      <c r="D2349">
        <v>1</v>
      </c>
      <c r="E2349">
        <v>1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1</v>
      </c>
      <c r="M2349">
        <v>1</v>
      </c>
      <c r="N2349">
        <v>1</v>
      </c>
      <c r="O2349">
        <v>1</v>
      </c>
      <c r="P2349">
        <v>1</v>
      </c>
      <c r="Q2349">
        <v>1</v>
      </c>
      <c r="R2349">
        <v>1</v>
      </c>
      <c r="S2349">
        <v>1</v>
      </c>
    </row>
    <row r="2350" spans="1:19" x14ac:dyDescent="0.25">
      <c r="A2350" s="1">
        <v>0.76596884259259257</v>
      </c>
      <c r="B2350" s="145" t="s">
        <v>2</v>
      </c>
      <c r="C2350">
        <v>2349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1</v>
      </c>
      <c r="M2350">
        <v>1</v>
      </c>
      <c r="N2350">
        <v>1</v>
      </c>
      <c r="O2350">
        <v>1</v>
      </c>
      <c r="P2350">
        <v>1</v>
      </c>
      <c r="Q2350">
        <v>1</v>
      </c>
      <c r="R2350">
        <v>1</v>
      </c>
      <c r="S2350">
        <v>1</v>
      </c>
    </row>
    <row r="2351" spans="1:19" x14ac:dyDescent="0.25">
      <c r="A2351" s="1">
        <v>0.76596895833333334</v>
      </c>
      <c r="B2351" s="145" t="s">
        <v>165</v>
      </c>
      <c r="C2351">
        <v>2350</v>
      </c>
      <c r="D2351">
        <v>1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1</v>
      </c>
      <c r="M2351">
        <v>1</v>
      </c>
      <c r="N2351">
        <v>1</v>
      </c>
      <c r="O2351">
        <v>1</v>
      </c>
      <c r="P2351">
        <v>1</v>
      </c>
      <c r="Q2351">
        <v>1</v>
      </c>
      <c r="R2351">
        <v>1</v>
      </c>
      <c r="S2351">
        <v>1</v>
      </c>
    </row>
    <row r="2352" spans="1:19" x14ac:dyDescent="0.25">
      <c r="A2352" s="1">
        <v>0.76596907407407411</v>
      </c>
      <c r="B2352" s="145" t="s">
        <v>165</v>
      </c>
      <c r="C2352">
        <v>2351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1</v>
      </c>
      <c r="N2352">
        <v>1</v>
      </c>
      <c r="O2352">
        <v>1</v>
      </c>
      <c r="P2352">
        <v>1</v>
      </c>
      <c r="Q2352">
        <v>1</v>
      </c>
      <c r="R2352">
        <v>1</v>
      </c>
      <c r="S2352">
        <v>1</v>
      </c>
    </row>
    <row r="2353" spans="1:19" x14ac:dyDescent="0.25">
      <c r="A2353" s="1">
        <v>0.76596918981481477</v>
      </c>
      <c r="B2353" s="145" t="s">
        <v>165</v>
      </c>
      <c r="C2353">
        <v>2352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1</v>
      </c>
      <c r="M2353">
        <v>1</v>
      </c>
      <c r="N2353">
        <v>1</v>
      </c>
      <c r="O2353">
        <v>1</v>
      </c>
      <c r="P2353">
        <v>1</v>
      </c>
      <c r="Q2353">
        <v>1</v>
      </c>
      <c r="R2353">
        <v>1</v>
      </c>
      <c r="S2353">
        <v>1</v>
      </c>
    </row>
    <row r="2354" spans="1:19" x14ac:dyDescent="0.25">
      <c r="A2354" s="1">
        <v>0.76596930555555554</v>
      </c>
      <c r="B2354" s="145" t="s">
        <v>165</v>
      </c>
      <c r="C2354">
        <v>2353</v>
      </c>
      <c r="D2354">
        <v>1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1</v>
      </c>
      <c r="N2354">
        <v>1</v>
      </c>
      <c r="O2354">
        <v>1</v>
      </c>
      <c r="P2354">
        <v>1</v>
      </c>
      <c r="Q2354">
        <v>1</v>
      </c>
      <c r="R2354">
        <v>1</v>
      </c>
      <c r="S2354">
        <v>1</v>
      </c>
    </row>
    <row r="2355" spans="1:19" x14ac:dyDescent="0.25">
      <c r="A2355" s="1">
        <v>0.7659694212962963</v>
      </c>
      <c r="B2355" s="145" t="s">
        <v>2</v>
      </c>
      <c r="C2355">
        <v>2354</v>
      </c>
      <c r="D2355">
        <v>0</v>
      </c>
      <c r="E2355">
        <v>1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1</v>
      </c>
      <c r="M2355">
        <v>1</v>
      </c>
      <c r="N2355">
        <v>1</v>
      </c>
      <c r="O2355">
        <v>1</v>
      </c>
      <c r="P2355">
        <v>1</v>
      </c>
      <c r="Q2355">
        <v>1</v>
      </c>
      <c r="R2355">
        <v>1</v>
      </c>
      <c r="S2355">
        <v>1</v>
      </c>
    </row>
    <row r="2356" spans="1:19" x14ac:dyDescent="0.25">
      <c r="A2356" s="1">
        <v>0.76596953703703707</v>
      </c>
      <c r="B2356" s="145" t="s">
        <v>2</v>
      </c>
      <c r="C2356">
        <v>2355</v>
      </c>
      <c r="D2356">
        <v>0</v>
      </c>
      <c r="E2356">
        <v>1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1</v>
      </c>
      <c r="M2356">
        <v>1</v>
      </c>
      <c r="N2356">
        <v>1</v>
      </c>
      <c r="O2356">
        <v>1</v>
      </c>
      <c r="P2356">
        <v>1</v>
      </c>
      <c r="Q2356">
        <v>1</v>
      </c>
      <c r="R2356">
        <v>1</v>
      </c>
      <c r="S2356">
        <v>1</v>
      </c>
    </row>
    <row r="2357" spans="1:19" x14ac:dyDescent="0.25">
      <c r="A2357" s="1">
        <v>0.76596965277777773</v>
      </c>
      <c r="B2357" s="145" t="s">
        <v>165</v>
      </c>
      <c r="C2357">
        <v>2356</v>
      </c>
      <c r="D2357">
        <v>1</v>
      </c>
      <c r="E2357">
        <v>1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1</v>
      </c>
      <c r="M2357">
        <v>1</v>
      </c>
      <c r="N2357">
        <v>1</v>
      </c>
      <c r="O2357">
        <v>1</v>
      </c>
      <c r="P2357">
        <v>1</v>
      </c>
      <c r="Q2357">
        <v>1</v>
      </c>
      <c r="R2357">
        <v>1</v>
      </c>
      <c r="S2357">
        <v>1</v>
      </c>
    </row>
    <row r="2358" spans="1:19" x14ac:dyDescent="0.25">
      <c r="A2358" s="1">
        <v>0.7659697685185185</v>
      </c>
      <c r="B2358" s="145" t="s">
        <v>165</v>
      </c>
      <c r="C2358">
        <v>2357</v>
      </c>
      <c r="D2358">
        <v>1</v>
      </c>
      <c r="E2358">
        <v>1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1</v>
      </c>
      <c r="N2358">
        <v>1</v>
      </c>
      <c r="O2358">
        <v>1</v>
      </c>
      <c r="P2358">
        <v>1</v>
      </c>
      <c r="Q2358">
        <v>1</v>
      </c>
      <c r="R2358">
        <v>1</v>
      </c>
      <c r="S2358">
        <v>1</v>
      </c>
    </row>
    <row r="2359" spans="1:19" x14ac:dyDescent="0.25">
      <c r="A2359" s="1">
        <v>0.76596988425925927</v>
      </c>
      <c r="B2359" s="145" t="s">
        <v>165</v>
      </c>
      <c r="C2359">
        <v>2358</v>
      </c>
      <c r="D2359">
        <v>1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1</v>
      </c>
      <c r="O2359">
        <v>1</v>
      </c>
      <c r="P2359">
        <v>1</v>
      </c>
      <c r="Q2359">
        <v>1</v>
      </c>
      <c r="R2359">
        <v>1</v>
      </c>
      <c r="S2359">
        <v>1</v>
      </c>
    </row>
    <row r="2360" spans="1:19" x14ac:dyDescent="0.25">
      <c r="A2360" s="1">
        <v>0.76597000000000004</v>
      </c>
      <c r="B2360" s="145" t="s">
        <v>165</v>
      </c>
      <c r="C2360">
        <v>2359</v>
      </c>
      <c r="D2360">
        <v>1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1</v>
      </c>
      <c r="N2360">
        <v>1</v>
      </c>
      <c r="O2360">
        <v>1</v>
      </c>
      <c r="P2360">
        <v>1</v>
      </c>
      <c r="Q2360">
        <v>1</v>
      </c>
      <c r="R2360">
        <v>1</v>
      </c>
      <c r="S2360">
        <v>1</v>
      </c>
    </row>
    <row r="2361" spans="1:19" x14ac:dyDescent="0.25">
      <c r="A2361" s="1">
        <v>0.7659701157407407</v>
      </c>
      <c r="B2361" s="145" t="s">
        <v>2</v>
      </c>
      <c r="C2361">
        <v>2360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1</v>
      </c>
      <c r="N2361">
        <v>1</v>
      </c>
      <c r="O2361">
        <v>1</v>
      </c>
      <c r="P2361">
        <v>1</v>
      </c>
      <c r="Q2361">
        <v>1</v>
      </c>
      <c r="R2361">
        <v>1</v>
      </c>
      <c r="S2361">
        <v>1</v>
      </c>
    </row>
    <row r="2362" spans="1:19" x14ac:dyDescent="0.25">
      <c r="A2362" s="1">
        <v>0.76597023148148147</v>
      </c>
      <c r="B2362" s="145" t="s">
        <v>2</v>
      </c>
      <c r="C2362">
        <v>2361</v>
      </c>
      <c r="D2362">
        <v>0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1</v>
      </c>
      <c r="M2362">
        <v>1</v>
      </c>
      <c r="N2362">
        <v>1</v>
      </c>
      <c r="O2362">
        <v>1</v>
      </c>
      <c r="P2362">
        <v>1</v>
      </c>
      <c r="Q2362">
        <v>1</v>
      </c>
      <c r="R2362">
        <v>1</v>
      </c>
      <c r="S2362">
        <v>1</v>
      </c>
    </row>
    <row r="2363" spans="1:19" x14ac:dyDescent="0.25">
      <c r="A2363" s="1">
        <v>0.76597034722222224</v>
      </c>
      <c r="B2363" s="145" t="s">
        <v>165</v>
      </c>
      <c r="C2363">
        <v>2362</v>
      </c>
      <c r="D2363">
        <v>1</v>
      </c>
      <c r="E2363">
        <v>1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1</v>
      </c>
      <c r="N2363">
        <v>1</v>
      </c>
      <c r="O2363">
        <v>1</v>
      </c>
      <c r="P2363">
        <v>1</v>
      </c>
      <c r="Q2363">
        <v>1</v>
      </c>
      <c r="R2363">
        <v>1</v>
      </c>
      <c r="S2363">
        <v>1</v>
      </c>
    </row>
    <row r="2364" spans="1:19" x14ac:dyDescent="0.25">
      <c r="A2364" s="1">
        <v>0.76597046296296301</v>
      </c>
      <c r="B2364" s="145" t="s">
        <v>165</v>
      </c>
      <c r="C2364">
        <v>2363</v>
      </c>
      <c r="D2364">
        <v>1</v>
      </c>
      <c r="E2364">
        <v>1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1</v>
      </c>
      <c r="M2364">
        <v>1</v>
      </c>
      <c r="N2364">
        <v>1</v>
      </c>
      <c r="O2364">
        <v>1</v>
      </c>
      <c r="P2364">
        <v>1</v>
      </c>
      <c r="Q2364">
        <v>1</v>
      </c>
      <c r="R2364">
        <v>1</v>
      </c>
      <c r="S2364">
        <v>1</v>
      </c>
    </row>
    <row r="2365" spans="1:19" x14ac:dyDescent="0.25">
      <c r="A2365" s="1">
        <v>0.76597057870370366</v>
      </c>
      <c r="B2365" s="145" t="s">
        <v>165</v>
      </c>
      <c r="C2365">
        <v>2364</v>
      </c>
      <c r="D2365">
        <v>1</v>
      </c>
      <c r="E2365">
        <v>1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1</v>
      </c>
      <c r="N2365">
        <v>1</v>
      </c>
      <c r="O2365">
        <v>1</v>
      </c>
      <c r="P2365">
        <v>1</v>
      </c>
      <c r="Q2365">
        <v>1</v>
      </c>
      <c r="R2365">
        <v>1</v>
      </c>
      <c r="S2365">
        <v>1</v>
      </c>
    </row>
    <row r="2366" spans="1:19" x14ac:dyDescent="0.25">
      <c r="A2366" s="1">
        <v>0.76597069444444443</v>
      </c>
      <c r="B2366" s="145" t="s">
        <v>165</v>
      </c>
      <c r="C2366">
        <v>2365</v>
      </c>
      <c r="D2366">
        <v>1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1</v>
      </c>
      <c r="N2366">
        <v>1</v>
      </c>
      <c r="O2366">
        <v>1</v>
      </c>
      <c r="P2366">
        <v>1</v>
      </c>
      <c r="Q2366">
        <v>1</v>
      </c>
      <c r="R2366">
        <v>1</v>
      </c>
      <c r="S2366">
        <v>1</v>
      </c>
    </row>
    <row r="2367" spans="1:19" x14ac:dyDescent="0.25">
      <c r="A2367" s="1">
        <v>0.7659708101851852</v>
      </c>
      <c r="B2367" s="145" t="s">
        <v>2</v>
      </c>
      <c r="C2367">
        <v>2366</v>
      </c>
      <c r="D2367">
        <v>0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1</v>
      </c>
      <c r="M2367">
        <v>1</v>
      </c>
      <c r="N2367">
        <v>1</v>
      </c>
      <c r="O2367">
        <v>1</v>
      </c>
      <c r="P2367">
        <v>1</v>
      </c>
      <c r="Q2367">
        <v>1</v>
      </c>
      <c r="R2367">
        <v>1</v>
      </c>
      <c r="S2367">
        <v>1</v>
      </c>
    </row>
    <row r="2368" spans="1:19" x14ac:dyDescent="0.25">
      <c r="A2368" s="1">
        <v>0.76597092592592597</v>
      </c>
      <c r="B2368" s="145" t="s">
        <v>2</v>
      </c>
      <c r="C2368">
        <v>2367</v>
      </c>
      <c r="D2368">
        <v>0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1</v>
      </c>
      <c r="N2368">
        <v>1</v>
      </c>
      <c r="O2368">
        <v>1</v>
      </c>
      <c r="P2368">
        <v>1</v>
      </c>
      <c r="Q2368">
        <v>1</v>
      </c>
      <c r="R2368">
        <v>1</v>
      </c>
      <c r="S2368">
        <v>1</v>
      </c>
    </row>
    <row r="2369" spans="1:19" x14ac:dyDescent="0.25">
      <c r="A2369" s="1">
        <v>0.76597104166666663</v>
      </c>
      <c r="B2369" s="145" t="s">
        <v>165</v>
      </c>
      <c r="C2369">
        <v>2368</v>
      </c>
      <c r="D2369">
        <v>1</v>
      </c>
      <c r="E2369">
        <v>1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1</v>
      </c>
      <c r="M2369">
        <v>1</v>
      </c>
      <c r="N2369">
        <v>1</v>
      </c>
      <c r="O2369">
        <v>1</v>
      </c>
      <c r="P2369">
        <v>1</v>
      </c>
      <c r="Q2369">
        <v>1</v>
      </c>
      <c r="R2369">
        <v>1</v>
      </c>
      <c r="S2369">
        <v>1</v>
      </c>
    </row>
    <row r="2370" spans="1:19" x14ac:dyDescent="0.25">
      <c r="A2370" s="1">
        <v>0.7659711574074074</v>
      </c>
      <c r="B2370" s="145" t="s">
        <v>165</v>
      </c>
      <c r="C2370">
        <v>2369</v>
      </c>
      <c r="D2370">
        <v>1</v>
      </c>
      <c r="E2370">
        <v>1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1</v>
      </c>
      <c r="M2370">
        <v>1</v>
      </c>
      <c r="N2370">
        <v>1</v>
      </c>
      <c r="O2370">
        <v>1</v>
      </c>
      <c r="P2370">
        <v>1</v>
      </c>
      <c r="Q2370">
        <v>1</v>
      </c>
      <c r="R2370">
        <v>1</v>
      </c>
      <c r="S2370">
        <v>1</v>
      </c>
    </row>
    <row r="2371" spans="1:19" x14ac:dyDescent="0.25">
      <c r="A2371" s="1">
        <v>0.76597127314814817</v>
      </c>
      <c r="B2371" s="145" t="s">
        <v>165</v>
      </c>
      <c r="C2371">
        <v>2370</v>
      </c>
      <c r="D2371">
        <v>1</v>
      </c>
      <c r="E2371">
        <v>1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1</v>
      </c>
      <c r="M2371">
        <v>1</v>
      </c>
      <c r="N2371">
        <v>1</v>
      </c>
      <c r="O2371">
        <v>1</v>
      </c>
      <c r="P2371">
        <v>1</v>
      </c>
      <c r="Q2371">
        <v>1</v>
      </c>
      <c r="R2371">
        <v>1</v>
      </c>
      <c r="S2371">
        <v>1</v>
      </c>
    </row>
    <row r="2372" spans="1:19" x14ac:dyDescent="0.25">
      <c r="A2372" s="1">
        <v>0.76597138888888894</v>
      </c>
      <c r="B2372" s="145" t="s">
        <v>165</v>
      </c>
      <c r="C2372">
        <v>2371</v>
      </c>
      <c r="D2372">
        <v>1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1</v>
      </c>
      <c r="M2372">
        <v>1</v>
      </c>
      <c r="N2372">
        <v>1</v>
      </c>
      <c r="O2372">
        <v>1</v>
      </c>
      <c r="P2372">
        <v>1</v>
      </c>
      <c r="Q2372">
        <v>1</v>
      </c>
      <c r="R2372">
        <v>1</v>
      </c>
      <c r="S2372">
        <v>1</v>
      </c>
    </row>
    <row r="2373" spans="1:19" x14ac:dyDescent="0.25">
      <c r="A2373" s="1">
        <v>0.7659715046296296</v>
      </c>
      <c r="B2373" s="145" t="s">
        <v>2</v>
      </c>
      <c r="C2373">
        <v>2372</v>
      </c>
      <c r="D2373">
        <v>0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1</v>
      </c>
      <c r="N2373">
        <v>1</v>
      </c>
      <c r="O2373">
        <v>1</v>
      </c>
      <c r="P2373">
        <v>1</v>
      </c>
      <c r="Q2373">
        <v>1</v>
      </c>
      <c r="R2373">
        <v>1</v>
      </c>
      <c r="S2373">
        <v>1</v>
      </c>
    </row>
    <row r="2374" spans="1:19" x14ac:dyDescent="0.25">
      <c r="A2374" s="1">
        <v>0.76597162037037037</v>
      </c>
      <c r="B2374" s="145" t="s">
        <v>2</v>
      </c>
      <c r="C2374">
        <v>2373</v>
      </c>
      <c r="D2374">
        <v>0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1</v>
      </c>
      <c r="M2374">
        <v>1</v>
      </c>
      <c r="N2374">
        <v>1</v>
      </c>
      <c r="O2374">
        <v>1</v>
      </c>
      <c r="P2374">
        <v>1</v>
      </c>
      <c r="Q2374">
        <v>1</v>
      </c>
      <c r="R2374">
        <v>1</v>
      </c>
      <c r="S2374">
        <v>1</v>
      </c>
    </row>
    <row r="2375" spans="1:19" x14ac:dyDescent="0.25">
      <c r="A2375" s="1">
        <v>0.76597173611111113</v>
      </c>
      <c r="B2375" s="145" t="s">
        <v>165</v>
      </c>
      <c r="C2375">
        <v>2374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1</v>
      </c>
      <c r="N2375">
        <v>1</v>
      </c>
      <c r="O2375">
        <v>1</v>
      </c>
      <c r="P2375">
        <v>1</v>
      </c>
      <c r="Q2375">
        <v>1</v>
      </c>
      <c r="R2375">
        <v>1</v>
      </c>
      <c r="S2375">
        <v>1</v>
      </c>
    </row>
    <row r="2376" spans="1:19" x14ac:dyDescent="0.25">
      <c r="A2376" s="1">
        <v>0.7659718518518519</v>
      </c>
      <c r="B2376" s="145" t="s">
        <v>165</v>
      </c>
      <c r="C2376">
        <v>2375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1</v>
      </c>
      <c r="M2376">
        <v>1</v>
      </c>
      <c r="N2376">
        <v>1</v>
      </c>
      <c r="O2376">
        <v>1</v>
      </c>
      <c r="P2376">
        <v>1</v>
      </c>
      <c r="Q2376">
        <v>1</v>
      </c>
      <c r="R2376">
        <v>1</v>
      </c>
      <c r="S2376">
        <v>1</v>
      </c>
    </row>
    <row r="2377" spans="1:19" x14ac:dyDescent="0.25">
      <c r="A2377" s="1">
        <v>0.76597196759259256</v>
      </c>
      <c r="B2377" s="145" t="s">
        <v>165</v>
      </c>
      <c r="C2377">
        <v>2376</v>
      </c>
      <c r="D2377">
        <v>1</v>
      </c>
      <c r="E2377">
        <v>1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1</v>
      </c>
      <c r="N2377">
        <v>1</v>
      </c>
      <c r="O2377">
        <v>1</v>
      </c>
      <c r="P2377">
        <v>1</v>
      </c>
      <c r="Q2377">
        <v>1</v>
      </c>
      <c r="R2377">
        <v>1</v>
      </c>
      <c r="S2377">
        <v>1</v>
      </c>
    </row>
    <row r="2378" spans="1:19" x14ac:dyDescent="0.25">
      <c r="A2378" s="1">
        <v>0.76597208333333333</v>
      </c>
      <c r="B2378" s="145" t="s">
        <v>165</v>
      </c>
      <c r="C2378">
        <v>2377</v>
      </c>
      <c r="D2378">
        <v>1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1</v>
      </c>
      <c r="N2378">
        <v>1</v>
      </c>
      <c r="O2378">
        <v>1</v>
      </c>
      <c r="P2378">
        <v>1</v>
      </c>
      <c r="Q2378">
        <v>1</v>
      </c>
      <c r="R2378">
        <v>1</v>
      </c>
      <c r="S2378">
        <v>1</v>
      </c>
    </row>
    <row r="2379" spans="1:19" x14ac:dyDescent="0.25">
      <c r="A2379" s="1">
        <v>0.76597221064814813</v>
      </c>
      <c r="B2379" s="145" t="s">
        <v>2</v>
      </c>
      <c r="C2379">
        <v>2378</v>
      </c>
      <c r="D2379">
        <v>0</v>
      </c>
      <c r="E2379">
        <v>1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</v>
      </c>
      <c r="N2379">
        <v>1</v>
      </c>
      <c r="O2379">
        <v>1</v>
      </c>
      <c r="P2379">
        <v>1</v>
      </c>
      <c r="Q2379">
        <v>1</v>
      </c>
      <c r="R2379">
        <v>1</v>
      </c>
      <c r="S2379">
        <v>1</v>
      </c>
    </row>
    <row r="2380" spans="1:19" x14ac:dyDescent="0.25">
      <c r="A2380" s="1">
        <v>0.76597231481481487</v>
      </c>
      <c r="B2380" s="145" t="s">
        <v>2</v>
      </c>
      <c r="C2380">
        <v>2379</v>
      </c>
      <c r="D2380">
        <v>0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1</v>
      </c>
      <c r="M2380">
        <v>1</v>
      </c>
      <c r="N2380">
        <v>1</v>
      </c>
      <c r="O2380">
        <v>1</v>
      </c>
      <c r="P2380">
        <v>1</v>
      </c>
      <c r="Q2380">
        <v>1</v>
      </c>
      <c r="R2380">
        <v>1</v>
      </c>
      <c r="S2380">
        <v>1</v>
      </c>
    </row>
    <row r="2381" spans="1:19" x14ac:dyDescent="0.25">
      <c r="A2381" s="1">
        <v>0.76597243055555553</v>
      </c>
      <c r="B2381" s="145" t="s">
        <v>165</v>
      </c>
      <c r="C2381">
        <v>2380</v>
      </c>
      <c r="D2381">
        <v>1</v>
      </c>
      <c r="E2381">
        <v>1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1</v>
      </c>
      <c r="O2381">
        <v>1</v>
      </c>
      <c r="P2381">
        <v>1</v>
      </c>
      <c r="Q2381">
        <v>1</v>
      </c>
      <c r="R2381">
        <v>1</v>
      </c>
      <c r="S2381">
        <v>1</v>
      </c>
    </row>
    <row r="2382" spans="1:19" x14ac:dyDescent="0.25">
      <c r="A2382" s="1">
        <v>0.7659725462962963</v>
      </c>
      <c r="B2382" s="145" t="s">
        <v>165</v>
      </c>
      <c r="C2382">
        <v>2381</v>
      </c>
      <c r="D2382">
        <v>1</v>
      </c>
      <c r="E2382">
        <v>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1</v>
      </c>
      <c r="M2382">
        <v>1</v>
      </c>
      <c r="N2382">
        <v>1</v>
      </c>
      <c r="O2382">
        <v>1</v>
      </c>
      <c r="P2382">
        <v>1</v>
      </c>
      <c r="Q2382">
        <v>1</v>
      </c>
      <c r="R2382">
        <v>1</v>
      </c>
      <c r="S2382">
        <v>1</v>
      </c>
    </row>
    <row r="2383" spans="1:19" x14ac:dyDescent="0.25">
      <c r="A2383" s="1">
        <v>0.76597266203703707</v>
      </c>
      <c r="B2383" s="145" t="s">
        <v>165</v>
      </c>
      <c r="C2383">
        <v>2382</v>
      </c>
      <c r="D2383">
        <v>1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</v>
      </c>
      <c r="N2383">
        <v>1</v>
      </c>
      <c r="O2383">
        <v>1</v>
      </c>
      <c r="P2383">
        <v>1</v>
      </c>
      <c r="Q2383">
        <v>1</v>
      </c>
      <c r="R2383">
        <v>1</v>
      </c>
      <c r="S2383">
        <v>1</v>
      </c>
    </row>
    <row r="2384" spans="1:19" x14ac:dyDescent="0.25">
      <c r="A2384" s="1">
        <v>0.76597277777777772</v>
      </c>
      <c r="B2384" s="145" t="s">
        <v>165</v>
      </c>
      <c r="C2384">
        <v>2383</v>
      </c>
      <c r="D2384">
        <v>1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1</v>
      </c>
      <c r="M2384">
        <v>1</v>
      </c>
      <c r="N2384">
        <v>1</v>
      </c>
      <c r="O2384">
        <v>1</v>
      </c>
      <c r="P2384">
        <v>1</v>
      </c>
      <c r="Q2384">
        <v>1</v>
      </c>
      <c r="R2384">
        <v>1</v>
      </c>
      <c r="S2384">
        <v>1</v>
      </c>
    </row>
    <row r="2385" spans="1:19" x14ac:dyDescent="0.25">
      <c r="A2385" s="1">
        <v>0.76597289351851849</v>
      </c>
      <c r="B2385" s="145" t="s">
        <v>2</v>
      </c>
      <c r="C2385">
        <v>2384</v>
      </c>
      <c r="D2385">
        <v>0</v>
      </c>
      <c r="E2385">
        <v>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1</v>
      </c>
      <c r="M2385">
        <v>1</v>
      </c>
      <c r="N2385">
        <v>1</v>
      </c>
      <c r="O2385">
        <v>1</v>
      </c>
      <c r="P2385">
        <v>1</v>
      </c>
      <c r="Q2385">
        <v>1</v>
      </c>
      <c r="R2385">
        <v>1</v>
      </c>
      <c r="S2385">
        <v>1</v>
      </c>
    </row>
    <row r="2386" spans="1:19" x14ac:dyDescent="0.25">
      <c r="A2386" s="1">
        <v>0.76597300925925926</v>
      </c>
      <c r="B2386" s="145" t="s">
        <v>2</v>
      </c>
      <c r="C2386">
        <v>2385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1</v>
      </c>
      <c r="M2386">
        <v>1</v>
      </c>
      <c r="N2386">
        <v>1</v>
      </c>
      <c r="O2386">
        <v>1</v>
      </c>
      <c r="P2386">
        <v>1</v>
      </c>
      <c r="Q2386">
        <v>1</v>
      </c>
      <c r="R2386">
        <v>1</v>
      </c>
      <c r="S2386">
        <v>1</v>
      </c>
    </row>
    <row r="2387" spans="1:19" x14ac:dyDescent="0.25">
      <c r="A2387" s="1">
        <v>0.76597312500000003</v>
      </c>
      <c r="B2387" s="145" t="s">
        <v>165</v>
      </c>
      <c r="C2387">
        <v>2386</v>
      </c>
      <c r="D2387">
        <v>1</v>
      </c>
      <c r="E2387">
        <v>1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1</v>
      </c>
      <c r="M2387">
        <v>1</v>
      </c>
      <c r="N2387">
        <v>1</v>
      </c>
      <c r="O2387">
        <v>1</v>
      </c>
      <c r="P2387">
        <v>1</v>
      </c>
      <c r="Q2387">
        <v>1</v>
      </c>
      <c r="R2387">
        <v>1</v>
      </c>
      <c r="S2387">
        <v>1</v>
      </c>
    </row>
    <row r="2388" spans="1:19" x14ac:dyDescent="0.25">
      <c r="A2388" s="1">
        <v>0.76597324074074069</v>
      </c>
      <c r="B2388" s="145" t="s">
        <v>165</v>
      </c>
      <c r="C2388">
        <v>2387</v>
      </c>
      <c r="D2388">
        <v>1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1</v>
      </c>
      <c r="N2388">
        <v>1</v>
      </c>
      <c r="O2388">
        <v>1</v>
      </c>
      <c r="P2388">
        <v>1</v>
      </c>
      <c r="Q2388">
        <v>1</v>
      </c>
      <c r="R2388">
        <v>1</v>
      </c>
      <c r="S2388">
        <v>1</v>
      </c>
    </row>
    <row r="2389" spans="1:19" x14ac:dyDescent="0.25">
      <c r="A2389" s="1">
        <v>0.76597335648148146</v>
      </c>
      <c r="B2389" s="145" t="s">
        <v>165</v>
      </c>
      <c r="C2389">
        <v>2388</v>
      </c>
      <c r="D2389">
        <v>1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</v>
      </c>
      <c r="N2389">
        <v>1</v>
      </c>
      <c r="O2389">
        <v>1</v>
      </c>
      <c r="P2389">
        <v>1</v>
      </c>
      <c r="Q2389">
        <v>1</v>
      </c>
      <c r="R2389">
        <v>1</v>
      </c>
      <c r="S2389">
        <v>1</v>
      </c>
    </row>
    <row r="2390" spans="1:19" x14ac:dyDescent="0.25">
      <c r="A2390" s="1">
        <v>0.76597347222222223</v>
      </c>
      <c r="B2390" s="145" t="s">
        <v>165</v>
      </c>
      <c r="C2390">
        <v>2389</v>
      </c>
      <c r="D2390">
        <v>1</v>
      </c>
      <c r="E2390">
        <v>1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1</v>
      </c>
      <c r="M2390">
        <v>1</v>
      </c>
      <c r="N2390">
        <v>1</v>
      </c>
      <c r="O2390">
        <v>1</v>
      </c>
      <c r="P2390">
        <v>1</v>
      </c>
      <c r="Q2390">
        <v>1</v>
      </c>
      <c r="R2390">
        <v>1</v>
      </c>
      <c r="S2390">
        <v>1</v>
      </c>
    </row>
    <row r="2391" spans="1:19" x14ac:dyDescent="0.25">
      <c r="A2391" s="1">
        <v>0.765973587962963</v>
      </c>
      <c r="B2391" s="145" t="s">
        <v>2</v>
      </c>
      <c r="C2391">
        <v>2390</v>
      </c>
      <c r="D2391">
        <v>0</v>
      </c>
      <c r="E2391">
        <v>1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1</v>
      </c>
      <c r="O2391">
        <v>1</v>
      </c>
      <c r="P2391">
        <v>1</v>
      </c>
      <c r="Q2391">
        <v>1</v>
      </c>
      <c r="R2391">
        <v>1</v>
      </c>
      <c r="S2391">
        <v>1</v>
      </c>
    </row>
    <row r="2392" spans="1:19" x14ac:dyDescent="0.25">
      <c r="A2392" s="1">
        <v>0.76597370370370366</v>
      </c>
      <c r="B2392" s="145" t="s">
        <v>2</v>
      </c>
      <c r="C2392">
        <v>2391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1</v>
      </c>
      <c r="N2392">
        <v>1</v>
      </c>
      <c r="O2392">
        <v>1</v>
      </c>
      <c r="P2392">
        <v>1</v>
      </c>
      <c r="Q2392">
        <v>1</v>
      </c>
      <c r="R2392">
        <v>1</v>
      </c>
      <c r="S2392">
        <v>1</v>
      </c>
    </row>
    <row r="2393" spans="1:19" x14ac:dyDescent="0.25">
      <c r="A2393" s="1">
        <v>0.76597381944444443</v>
      </c>
      <c r="B2393" s="145" t="s">
        <v>165</v>
      </c>
      <c r="C2393">
        <v>2392</v>
      </c>
      <c r="D2393">
        <v>1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1</v>
      </c>
      <c r="M2393">
        <v>1</v>
      </c>
      <c r="N2393">
        <v>1</v>
      </c>
      <c r="O2393">
        <v>1</v>
      </c>
      <c r="P2393">
        <v>1</v>
      </c>
      <c r="Q2393">
        <v>1</v>
      </c>
      <c r="R2393">
        <v>1</v>
      </c>
      <c r="S2393">
        <v>1</v>
      </c>
    </row>
    <row r="2394" spans="1:19" x14ac:dyDescent="0.25">
      <c r="A2394" s="1">
        <v>0.7659739351851852</v>
      </c>
      <c r="B2394" s="145" t="s">
        <v>165</v>
      </c>
      <c r="C2394">
        <v>2393</v>
      </c>
      <c r="D2394">
        <v>1</v>
      </c>
      <c r="E2394">
        <v>1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1</v>
      </c>
      <c r="N2394">
        <v>1</v>
      </c>
      <c r="O2394">
        <v>1</v>
      </c>
      <c r="P2394">
        <v>1</v>
      </c>
      <c r="Q2394">
        <v>1</v>
      </c>
      <c r="R2394">
        <v>1</v>
      </c>
      <c r="S2394">
        <v>1</v>
      </c>
    </row>
    <row r="2395" spans="1:19" x14ac:dyDescent="0.25">
      <c r="A2395" s="1">
        <v>0.76597405092592596</v>
      </c>
      <c r="B2395" s="145" t="s">
        <v>165</v>
      </c>
      <c r="C2395">
        <v>2394</v>
      </c>
      <c r="D2395">
        <v>1</v>
      </c>
      <c r="E2395">
        <v>1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1</v>
      </c>
      <c r="O2395">
        <v>1</v>
      </c>
      <c r="P2395">
        <v>1</v>
      </c>
      <c r="Q2395">
        <v>1</v>
      </c>
      <c r="R2395">
        <v>1</v>
      </c>
      <c r="S2395">
        <v>1</v>
      </c>
    </row>
    <row r="2396" spans="1:19" x14ac:dyDescent="0.25">
      <c r="A2396" s="1">
        <v>0.76597416666666662</v>
      </c>
      <c r="B2396" s="145" t="s">
        <v>165</v>
      </c>
      <c r="C2396">
        <v>2395</v>
      </c>
      <c r="D2396">
        <v>1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1</v>
      </c>
      <c r="M2396">
        <v>1</v>
      </c>
      <c r="N2396">
        <v>1</v>
      </c>
      <c r="O2396">
        <v>1</v>
      </c>
      <c r="P2396">
        <v>1</v>
      </c>
      <c r="Q2396">
        <v>1</v>
      </c>
      <c r="R2396">
        <v>1</v>
      </c>
      <c r="S2396">
        <v>1</v>
      </c>
    </row>
    <row r="2397" spans="1:19" x14ac:dyDescent="0.25">
      <c r="A2397" s="1">
        <v>0.76597428240740739</v>
      </c>
      <c r="B2397" s="145" t="s">
        <v>2</v>
      </c>
      <c r="C2397">
        <v>2396</v>
      </c>
      <c r="D2397">
        <v>0</v>
      </c>
      <c r="E2397">
        <v>1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1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1</v>
      </c>
      <c r="S2397">
        <v>1</v>
      </c>
    </row>
    <row r="2398" spans="1:19" x14ac:dyDescent="0.25">
      <c r="A2398" s="1">
        <v>0.76597439814814816</v>
      </c>
      <c r="B2398" s="145" t="s">
        <v>2</v>
      </c>
      <c r="C2398">
        <v>2397</v>
      </c>
      <c r="D2398">
        <v>0</v>
      </c>
      <c r="E2398">
        <v>1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1</v>
      </c>
      <c r="N2398">
        <v>1</v>
      </c>
      <c r="O2398">
        <v>1</v>
      </c>
      <c r="P2398">
        <v>1</v>
      </c>
      <c r="Q2398">
        <v>1</v>
      </c>
      <c r="R2398">
        <v>1</v>
      </c>
      <c r="S2398">
        <v>1</v>
      </c>
    </row>
    <row r="2399" spans="1:19" x14ac:dyDescent="0.25">
      <c r="A2399" s="1">
        <v>0.76597451388888893</v>
      </c>
      <c r="B2399" s="145" t="s">
        <v>165</v>
      </c>
      <c r="C2399">
        <v>2398</v>
      </c>
      <c r="D2399">
        <v>1</v>
      </c>
      <c r="E2399">
        <v>1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1</v>
      </c>
      <c r="N2399">
        <v>1</v>
      </c>
      <c r="O2399">
        <v>1</v>
      </c>
      <c r="P2399">
        <v>1</v>
      </c>
      <c r="Q2399">
        <v>1</v>
      </c>
      <c r="R2399">
        <v>1</v>
      </c>
      <c r="S2399">
        <v>1</v>
      </c>
    </row>
    <row r="2400" spans="1:19" x14ac:dyDescent="0.25">
      <c r="A2400" s="1">
        <v>0.76597462962962959</v>
      </c>
      <c r="B2400" s="145" t="s">
        <v>165</v>
      </c>
      <c r="C2400">
        <v>2399</v>
      </c>
      <c r="D2400">
        <v>1</v>
      </c>
      <c r="E2400">
        <v>1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1</v>
      </c>
      <c r="N2400">
        <v>1</v>
      </c>
      <c r="O2400">
        <v>1</v>
      </c>
      <c r="P2400">
        <v>1</v>
      </c>
      <c r="Q2400">
        <v>1</v>
      </c>
      <c r="R2400">
        <v>1</v>
      </c>
      <c r="S2400">
        <v>1</v>
      </c>
    </row>
    <row r="2401" spans="1:19" x14ac:dyDescent="0.25">
      <c r="A2401" s="1">
        <v>0.76597474537037036</v>
      </c>
      <c r="B2401" s="145" t="s">
        <v>165</v>
      </c>
      <c r="C2401">
        <v>2400</v>
      </c>
      <c r="D2401">
        <v>1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1</v>
      </c>
      <c r="M2401">
        <v>1</v>
      </c>
      <c r="N2401">
        <v>1</v>
      </c>
      <c r="O2401">
        <v>1</v>
      </c>
      <c r="P2401">
        <v>1</v>
      </c>
      <c r="Q2401">
        <v>1</v>
      </c>
      <c r="R2401">
        <v>1</v>
      </c>
      <c r="S2401">
        <v>1</v>
      </c>
    </row>
    <row r="2402" spans="1:19" x14ac:dyDescent="0.25">
      <c r="A2402" s="1">
        <v>0.76597486111111113</v>
      </c>
      <c r="B2402" s="145" t="s">
        <v>165</v>
      </c>
      <c r="C2402">
        <v>2401</v>
      </c>
      <c r="D2402">
        <v>1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</v>
      </c>
      <c r="N2402">
        <v>1</v>
      </c>
      <c r="O2402">
        <v>1</v>
      </c>
      <c r="P2402">
        <v>1</v>
      </c>
      <c r="Q2402">
        <v>1</v>
      </c>
      <c r="R2402">
        <v>1</v>
      </c>
      <c r="S2402">
        <v>1</v>
      </c>
    </row>
    <row r="2403" spans="1:19" x14ac:dyDescent="0.25">
      <c r="A2403" s="1">
        <v>0.7659749768518519</v>
      </c>
      <c r="B2403" s="145" t="s">
        <v>2</v>
      </c>
      <c r="C2403">
        <v>2402</v>
      </c>
      <c r="D2403">
        <v>0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1</v>
      </c>
      <c r="N2403">
        <v>1</v>
      </c>
      <c r="O2403">
        <v>1</v>
      </c>
      <c r="P2403">
        <v>1</v>
      </c>
      <c r="Q2403">
        <v>1</v>
      </c>
      <c r="R2403">
        <v>1</v>
      </c>
      <c r="S2403">
        <v>1</v>
      </c>
    </row>
    <row r="2404" spans="1:19" x14ac:dyDescent="0.25">
      <c r="A2404" s="1">
        <v>0.76597508101851852</v>
      </c>
      <c r="B2404" s="145" t="s">
        <v>2</v>
      </c>
      <c r="C2404">
        <v>2403</v>
      </c>
      <c r="D2404">
        <v>0</v>
      </c>
      <c r="E2404">
        <v>1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1</v>
      </c>
      <c r="N2404">
        <v>1</v>
      </c>
      <c r="O2404">
        <v>1</v>
      </c>
      <c r="P2404">
        <v>1</v>
      </c>
      <c r="Q2404">
        <v>1</v>
      </c>
      <c r="R2404">
        <v>1</v>
      </c>
      <c r="S2404">
        <v>1</v>
      </c>
    </row>
    <row r="2405" spans="1:19" x14ac:dyDescent="0.25">
      <c r="A2405" s="1">
        <v>0.76597519675925929</v>
      </c>
      <c r="B2405" s="145" t="s">
        <v>165</v>
      </c>
      <c r="C2405">
        <v>2404</v>
      </c>
      <c r="D2405">
        <v>1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1</v>
      </c>
      <c r="N2405">
        <v>1</v>
      </c>
      <c r="O2405">
        <v>1</v>
      </c>
      <c r="P2405">
        <v>1</v>
      </c>
      <c r="Q2405">
        <v>1</v>
      </c>
      <c r="R2405">
        <v>1</v>
      </c>
      <c r="S2405">
        <v>1</v>
      </c>
    </row>
    <row r="2406" spans="1:19" x14ac:dyDescent="0.25">
      <c r="A2406" s="1">
        <v>0.76597531249999995</v>
      </c>
      <c r="B2406" s="145" t="s">
        <v>165</v>
      </c>
      <c r="C2406">
        <v>2405</v>
      </c>
      <c r="D2406">
        <v>1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1</v>
      </c>
      <c r="M2406">
        <v>1</v>
      </c>
      <c r="N2406">
        <v>1</v>
      </c>
      <c r="O2406">
        <v>1</v>
      </c>
      <c r="P2406">
        <v>1</v>
      </c>
      <c r="Q2406">
        <v>1</v>
      </c>
      <c r="R2406">
        <v>1</v>
      </c>
      <c r="S2406">
        <v>1</v>
      </c>
    </row>
    <row r="2407" spans="1:19" x14ac:dyDescent="0.25">
      <c r="A2407" s="1">
        <v>0.76597542824074072</v>
      </c>
      <c r="B2407" s="145" t="s">
        <v>165</v>
      </c>
      <c r="C2407">
        <v>2406</v>
      </c>
      <c r="D2407">
        <v>1</v>
      </c>
      <c r="E2407">
        <v>1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1</v>
      </c>
      <c r="N2407">
        <v>1</v>
      </c>
      <c r="O2407">
        <v>1</v>
      </c>
      <c r="P2407">
        <v>1</v>
      </c>
      <c r="Q2407">
        <v>1</v>
      </c>
      <c r="R2407">
        <v>1</v>
      </c>
      <c r="S2407">
        <v>1</v>
      </c>
    </row>
    <row r="2408" spans="1:19" x14ac:dyDescent="0.25">
      <c r="A2408" s="1">
        <v>0.76597554398148149</v>
      </c>
      <c r="B2408" s="145" t="s">
        <v>165</v>
      </c>
      <c r="C2408">
        <v>2407</v>
      </c>
      <c r="D2408">
        <v>1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</row>
    <row r="2409" spans="1:19" x14ac:dyDescent="0.25">
      <c r="A2409" s="1">
        <v>0.76597565972222226</v>
      </c>
      <c r="B2409" s="145" t="s">
        <v>2</v>
      </c>
      <c r="C2409">
        <v>2408</v>
      </c>
      <c r="D2409">
        <v>0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1</v>
      </c>
      <c r="M2409">
        <v>1</v>
      </c>
      <c r="N2409">
        <v>1</v>
      </c>
      <c r="O2409">
        <v>1</v>
      </c>
      <c r="P2409">
        <v>1</v>
      </c>
      <c r="Q2409">
        <v>1</v>
      </c>
      <c r="R2409">
        <v>1</v>
      </c>
      <c r="S2409">
        <v>1</v>
      </c>
    </row>
    <row r="2410" spans="1:19" x14ac:dyDescent="0.25">
      <c r="A2410" s="1">
        <v>0.76597577546296292</v>
      </c>
      <c r="B2410" s="145" t="s">
        <v>2</v>
      </c>
      <c r="C2410">
        <v>2409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1</v>
      </c>
      <c r="N2410">
        <v>1</v>
      </c>
      <c r="O2410">
        <v>1</v>
      </c>
      <c r="P2410">
        <v>1</v>
      </c>
      <c r="Q2410">
        <v>1</v>
      </c>
      <c r="R2410">
        <v>1</v>
      </c>
      <c r="S2410">
        <v>1</v>
      </c>
    </row>
    <row r="2411" spans="1:19" x14ac:dyDescent="0.25">
      <c r="A2411" s="1">
        <v>0.76597589120370368</v>
      </c>
      <c r="B2411" s="145" t="s">
        <v>165</v>
      </c>
      <c r="C2411">
        <v>2410</v>
      </c>
      <c r="D2411">
        <v>1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1</v>
      </c>
      <c r="M2411">
        <v>1</v>
      </c>
      <c r="N2411">
        <v>1</v>
      </c>
      <c r="O2411">
        <v>1</v>
      </c>
      <c r="P2411">
        <v>1</v>
      </c>
      <c r="Q2411">
        <v>1</v>
      </c>
      <c r="R2411">
        <v>1</v>
      </c>
      <c r="S2411">
        <v>1</v>
      </c>
    </row>
    <row r="2412" spans="1:19" x14ac:dyDescent="0.25">
      <c r="A2412" s="1">
        <v>0.76597600694444445</v>
      </c>
      <c r="B2412" s="145" t="s">
        <v>165</v>
      </c>
      <c r="C2412">
        <v>2411</v>
      </c>
      <c r="D2412">
        <v>1</v>
      </c>
      <c r="E2412">
        <v>1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1</v>
      </c>
      <c r="M2412">
        <v>1</v>
      </c>
      <c r="N2412">
        <v>1</v>
      </c>
      <c r="O2412">
        <v>1</v>
      </c>
      <c r="P2412">
        <v>1</v>
      </c>
      <c r="Q2412">
        <v>1</v>
      </c>
      <c r="R2412">
        <v>1</v>
      </c>
      <c r="S2412">
        <v>1</v>
      </c>
    </row>
    <row r="2413" spans="1:19" x14ac:dyDescent="0.25">
      <c r="A2413" s="1">
        <v>0.76597612268518522</v>
      </c>
      <c r="B2413" s="145" t="s">
        <v>165</v>
      </c>
      <c r="C2413">
        <v>2412</v>
      </c>
      <c r="D2413">
        <v>1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1</v>
      </c>
      <c r="M2413">
        <v>1</v>
      </c>
      <c r="N2413">
        <v>1</v>
      </c>
      <c r="O2413">
        <v>1</v>
      </c>
      <c r="P2413">
        <v>1</v>
      </c>
      <c r="Q2413">
        <v>1</v>
      </c>
      <c r="R2413">
        <v>1</v>
      </c>
      <c r="S2413">
        <v>1</v>
      </c>
    </row>
    <row r="2414" spans="1:19" x14ac:dyDescent="0.25">
      <c r="A2414" s="1">
        <v>0.76597623842592588</v>
      </c>
      <c r="B2414" s="145" t="s">
        <v>165</v>
      </c>
      <c r="C2414">
        <v>2413</v>
      </c>
      <c r="D2414">
        <v>1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1</v>
      </c>
      <c r="N2414">
        <v>1</v>
      </c>
      <c r="O2414">
        <v>1</v>
      </c>
      <c r="P2414">
        <v>1</v>
      </c>
      <c r="Q2414">
        <v>1</v>
      </c>
      <c r="R2414">
        <v>1</v>
      </c>
      <c r="S2414">
        <v>1</v>
      </c>
    </row>
    <row r="2415" spans="1:19" x14ac:dyDescent="0.25">
      <c r="A2415" s="1">
        <v>0.76597635416666665</v>
      </c>
      <c r="B2415" s="145" t="s">
        <v>2</v>
      </c>
      <c r="C2415">
        <v>2414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>
        <v>1</v>
      </c>
    </row>
    <row r="2416" spans="1:19" x14ac:dyDescent="0.25">
      <c r="A2416" s="1">
        <v>0.76597646990740742</v>
      </c>
      <c r="B2416" s="145" t="s">
        <v>2</v>
      </c>
      <c r="C2416">
        <v>2415</v>
      </c>
      <c r="D2416">
        <v>0</v>
      </c>
      <c r="E2416">
        <v>1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1</v>
      </c>
      <c r="M2416">
        <v>1</v>
      </c>
      <c r="N2416">
        <v>1</v>
      </c>
      <c r="O2416">
        <v>1</v>
      </c>
      <c r="P2416">
        <v>1</v>
      </c>
      <c r="Q2416">
        <v>1</v>
      </c>
      <c r="R2416">
        <v>1</v>
      </c>
      <c r="S2416">
        <v>1</v>
      </c>
    </row>
    <row r="2417" spans="1:19" x14ac:dyDescent="0.25">
      <c r="A2417" s="1">
        <v>0.76597658564814819</v>
      </c>
      <c r="B2417" s="145" t="s">
        <v>165</v>
      </c>
      <c r="C2417">
        <v>2416</v>
      </c>
      <c r="D2417">
        <v>1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1</v>
      </c>
      <c r="N2417">
        <v>1</v>
      </c>
      <c r="O2417">
        <v>1</v>
      </c>
      <c r="P2417">
        <v>1</v>
      </c>
      <c r="Q2417">
        <v>1</v>
      </c>
      <c r="R2417">
        <v>1</v>
      </c>
      <c r="S2417">
        <v>1</v>
      </c>
    </row>
    <row r="2418" spans="1:19" x14ac:dyDescent="0.25">
      <c r="A2418" s="1">
        <v>0.76597670138888885</v>
      </c>
      <c r="B2418" s="145" t="s">
        <v>165</v>
      </c>
      <c r="C2418">
        <v>2417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1</v>
      </c>
      <c r="N2418">
        <v>1</v>
      </c>
      <c r="O2418">
        <v>1</v>
      </c>
      <c r="P2418">
        <v>1</v>
      </c>
      <c r="Q2418">
        <v>1</v>
      </c>
      <c r="R2418">
        <v>1</v>
      </c>
      <c r="S2418">
        <v>1</v>
      </c>
    </row>
    <row r="2419" spans="1:19" x14ac:dyDescent="0.25">
      <c r="A2419" s="1">
        <v>0.76597681712962962</v>
      </c>
      <c r="B2419" s="145" t="s">
        <v>165</v>
      </c>
      <c r="C2419">
        <v>2418</v>
      </c>
      <c r="D2419">
        <v>1</v>
      </c>
      <c r="E2419">
        <v>1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1</v>
      </c>
      <c r="N2419">
        <v>1</v>
      </c>
      <c r="O2419">
        <v>1</v>
      </c>
      <c r="P2419">
        <v>1</v>
      </c>
      <c r="Q2419">
        <v>1</v>
      </c>
      <c r="R2419">
        <v>1</v>
      </c>
      <c r="S2419">
        <v>1</v>
      </c>
    </row>
    <row r="2420" spans="1:19" x14ac:dyDescent="0.25">
      <c r="A2420" s="1">
        <v>0.76597693287037039</v>
      </c>
      <c r="B2420" s="145" t="s">
        <v>165</v>
      </c>
      <c r="C2420">
        <v>2419</v>
      </c>
      <c r="D2420">
        <v>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1</v>
      </c>
      <c r="M2420">
        <v>1</v>
      </c>
      <c r="N2420">
        <v>1</v>
      </c>
      <c r="O2420">
        <v>1</v>
      </c>
      <c r="P2420">
        <v>1</v>
      </c>
      <c r="Q2420">
        <v>1</v>
      </c>
      <c r="R2420">
        <v>1</v>
      </c>
      <c r="S2420">
        <v>1</v>
      </c>
    </row>
    <row r="2421" spans="1:19" x14ac:dyDescent="0.25">
      <c r="A2421" s="1">
        <v>0.76597704861111116</v>
      </c>
      <c r="B2421" s="145" t="s">
        <v>2</v>
      </c>
      <c r="C2421">
        <v>2420</v>
      </c>
      <c r="D2421">
        <v>0</v>
      </c>
      <c r="E2421">
        <v>1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1</v>
      </c>
      <c r="M2421">
        <v>1</v>
      </c>
      <c r="N2421">
        <v>1</v>
      </c>
      <c r="O2421">
        <v>1</v>
      </c>
      <c r="P2421">
        <v>1</v>
      </c>
      <c r="Q2421">
        <v>1</v>
      </c>
      <c r="R2421">
        <v>1</v>
      </c>
      <c r="S2421">
        <v>1</v>
      </c>
    </row>
    <row r="2422" spans="1:19" x14ac:dyDescent="0.25">
      <c r="A2422" s="1">
        <v>0.76597716435185181</v>
      </c>
      <c r="B2422" s="145" t="s">
        <v>2</v>
      </c>
      <c r="C2422">
        <v>2421</v>
      </c>
      <c r="D2422">
        <v>0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1</v>
      </c>
      <c r="M2422">
        <v>1</v>
      </c>
      <c r="N2422">
        <v>1</v>
      </c>
      <c r="O2422">
        <v>1</v>
      </c>
      <c r="P2422">
        <v>1</v>
      </c>
      <c r="Q2422">
        <v>1</v>
      </c>
      <c r="R2422">
        <v>1</v>
      </c>
      <c r="S2422">
        <v>1</v>
      </c>
    </row>
    <row r="2423" spans="1:19" x14ac:dyDescent="0.25">
      <c r="A2423" s="1">
        <v>0.76597728009259258</v>
      </c>
      <c r="B2423" s="145" t="s">
        <v>165</v>
      </c>
      <c r="C2423">
        <v>2422</v>
      </c>
      <c r="D2423">
        <v>1</v>
      </c>
      <c r="E2423">
        <v>1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1</v>
      </c>
      <c r="N2423">
        <v>1</v>
      </c>
      <c r="O2423">
        <v>1</v>
      </c>
      <c r="P2423">
        <v>1</v>
      </c>
      <c r="Q2423">
        <v>1</v>
      </c>
      <c r="R2423">
        <v>1</v>
      </c>
      <c r="S2423">
        <v>1</v>
      </c>
    </row>
    <row r="2424" spans="1:19" x14ac:dyDescent="0.25">
      <c r="A2424" s="1">
        <v>0.76597739583333335</v>
      </c>
      <c r="B2424" s="145" t="s">
        <v>165</v>
      </c>
      <c r="C2424">
        <v>2423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1</v>
      </c>
      <c r="N2424">
        <v>1</v>
      </c>
      <c r="O2424">
        <v>1</v>
      </c>
      <c r="P2424">
        <v>1</v>
      </c>
      <c r="Q2424">
        <v>1</v>
      </c>
      <c r="R2424">
        <v>1</v>
      </c>
      <c r="S2424">
        <v>1</v>
      </c>
    </row>
    <row r="2425" spans="1:19" x14ac:dyDescent="0.25">
      <c r="A2425" s="1">
        <v>0.76597751157407412</v>
      </c>
      <c r="B2425" s="145" t="s">
        <v>165</v>
      </c>
      <c r="C2425">
        <v>2424</v>
      </c>
      <c r="D2425">
        <v>1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1</v>
      </c>
      <c r="N2425">
        <v>1</v>
      </c>
      <c r="O2425">
        <v>1</v>
      </c>
      <c r="P2425">
        <v>1</v>
      </c>
      <c r="Q2425">
        <v>1</v>
      </c>
      <c r="R2425">
        <v>1</v>
      </c>
      <c r="S2425">
        <v>1</v>
      </c>
    </row>
    <row r="2426" spans="1:19" x14ac:dyDescent="0.25">
      <c r="A2426" s="1">
        <v>0.76597762731481478</v>
      </c>
      <c r="B2426" s="145" t="s">
        <v>165</v>
      </c>
      <c r="C2426">
        <v>2425</v>
      </c>
      <c r="D2426">
        <v>1</v>
      </c>
      <c r="E2426">
        <v>1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1</v>
      </c>
      <c r="N2426">
        <v>1</v>
      </c>
      <c r="O2426">
        <v>1</v>
      </c>
      <c r="P2426">
        <v>1</v>
      </c>
      <c r="Q2426">
        <v>1</v>
      </c>
      <c r="R2426">
        <v>1</v>
      </c>
      <c r="S2426">
        <v>1</v>
      </c>
    </row>
    <row r="2427" spans="1:19" x14ac:dyDescent="0.25">
      <c r="A2427" s="1">
        <v>0.76597774305555555</v>
      </c>
      <c r="B2427" s="145" t="s">
        <v>2</v>
      </c>
      <c r="C2427">
        <v>2426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1</v>
      </c>
      <c r="N2427">
        <v>1</v>
      </c>
      <c r="O2427">
        <v>1</v>
      </c>
      <c r="P2427">
        <v>1</v>
      </c>
      <c r="Q2427">
        <v>1</v>
      </c>
      <c r="R2427">
        <v>1</v>
      </c>
      <c r="S2427">
        <v>1</v>
      </c>
    </row>
    <row r="2428" spans="1:19" x14ac:dyDescent="0.25">
      <c r="A2428" s="1">
        <v>0.76597785879629632</v>
      </c>
      <c r="B2428" s="145" t="s">
        <v>2</v>
      </c>
      <c r="C2428">
        <v>2427</v>
      </c>
      <c r="D2428">
        <v>0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1</v>
      </c>
      <c r="M2428">
        <v>1</v>
      </c>
      <c r="N2428">
        <v>1</v>
      </c>
      <c r="O2428">
        <v>1</v>
      </c>
      <c r="P2428">
        <v>1</v>
      </c>
      <c r="Q2428">
        <v>1</v>
      </c>
      <c r="R2428">
        <v>1</v>
      </c>
      <c r="S2428">
        <v>1</v>
      </c>
    </row>
    <row r="2429" spans="1:19" x14ac:dyDescent="0.25">
      <c r="A2429" s="1">
        <v>0.76597797453703709</v>
      </c>
      <c r="B2429" s="145" t="s">
        <v>165</v>
      </c>
      <c r="C2429">
        <v>2428</v>
      </c>
      <c r="D2429">
        <v>1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1</v>
      </c>
      <c r="N2429">
        <v>1</v>
      </c>
      <c r="O2429">
        <v>1</v>
      </c>
      <c r="P2429">
        <v>1</v>
      </c>
      <c r="Q2429">
        <v>1</v>
      </c>
      <c r="R2429">
        <v>1</v>
      </c>
      <c r="S2429">
        <v>1</v>
      </c>
    </row>
    <row r="2430" spans="1:19" x14ac:dyDescent="0.25">
      <c r="A2430" s="1">
        <v>0.76597809027777775</v>
      </c>
      <c r="B2430" s="145" t="s">
        <v>165</v>
      </c>
      <c r="C2430">
        <v>2429</v>
      </c>
      <c r="D2430">
        <v>1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1</v>
      </c>
      <c r="N2430">
        <v>1</v>
      </c>
      <c r="O2430">
        <v>1</v>
      </c>
      <c r="P2430">
        <v>1</v>
      </c>
      <c r="Q2430">
        <v>1</v>
      </c>
      <c r="R2430">
        <v>1</v>
      </c>
      <c r="S2430">
        <v>1</v>
      </c>
    </row>
    <row r="2431" spans="1:19" x14ac:dyDescent="0.25">
      <c r="A2431" s="1">
        <v>0.76597820601851851</v>
      </c>
      <c r="B2431" s="145" t="s">
        <v>165</v>
      </c>
      <c r="C2431">
        <v>2430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1</v>
      </c>
      <c r="O2431">
        <v>1</v>
      </c>
      <c r="P2431">
        <v>1</v>
      </c>
      <c r="Q2431">
        <v>1</v>
      </c>
      <c r="R2431">
        <v>1</v>
      </c>
      <c r="S2431">
        <v>1</v>
      </c>
    </row>
    <row r="2432" spans="1:19" x14ac:dyDescent="0.25">
      <c r="A2432" s="1">
        <v>0.76597832175925928</v>
      </c>
      <c r="B2432" s="145" t="s">
        <v>165</v>
      </c>
      <c r="C2432">
        <v>2431</v>
      </c>
      <c r="D2432">
        <v>1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1</v>
      </c>
      <c r="O2432">
        <v>1</v>
      </c>
      <c r="P2432">
        <v>1</v>
      </c>
      <c r="Q2432">
        <v>1</v>
      </c>
      <c r="R2432">
        <v>1</v>
      </c>
      <c r="S2432">
        <v>1</v>
      </c>
    </row>
    <row r="2433" spans="1:19" x14ac:dyDescent="0.25">
      <c r="A2433" s="1">
        <v>0.76597843750000005</v>
      </c>
      <c r="B2433" s="145" t="s">
        <v>2</v>
      </c>
      <c r="C2433">
        <v>2432</v>
      </c>
      <c r="D2433">
        <v>0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1</v>
      </c>
      <c r="N2433">
        <v>1</v>
      </c>
      <c r="O2433">
        <v>1</v>
      </c>
      <c r="P2433">
        <v>1</v>
      </c>
      <c r="Q2433">
        <v>1</v>
      </c>
      <c r="R2433">
        <v>1</v>
      </c>
      <c r="S2433">
        <v>1</v>
      </c>
    </row>
    <row r="2434" spans="1:19" x14ac:dyDescent="0.25">
      <c r="A2434" s="1">
        <v>0.76597855324074071</v>
      </c>
      <c r="B2434" s="145" t="s">
        <v>2</v>
      </c>
      <c r="C2434">
        <v>2433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1</v>
      </c>
      <c r="N2434">
        <v>1</v>
      </c>
      <c r="O2434">
        <v>1</v>
      </c>
      <c r="P2434">
        <v>1</v>
      </c>
      <c r="Q2434">
        <v>1</v>
      </c>
      <c r="R2434">
        <v>1</v>
      </c>
      <c r="S2434">
        <v>1</v>
      </c>
    </row>
    <row r="2435" spans="1:19" x14ac:dyDescent="0.25">
      <c r="A2435" s="1">
        <v>0.76597866898148148</v>
      </c>
      <c r="B2435" s="145" t="s">
        <v>165</v>
      </c>
      <c r="C2435">
        <v>2434</v>
      </c>
      <c r="D2435">
        <v>1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1</v>
      </c>
      <c r="N2435">
        <v>1</v>
      </c>
      <c r="O2435">
        <v>1</v>
      </c>
      <c r="P2435">
        <v>1</v>
      </c>
      <c r="Q2435">
        <v>1</v>
      </c>
      <c r="R2435">
        <v>1</v>
      </c>
      <c r="S2435">
        <v>1</v>
      </c>
    </row>
    <row r="2436" spans="1:19" x14ac:dyDescent="0.25">
      <c r="A2436" s="1">
        <v>0.76597878472222225</v>
      </c>
      <c r="B2436" s="145" t="s">
        <v>165</v>
      </c>
      <c r="C2436">
        <v>2435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1</v>
      </c>
      <c r="M2436">
        <v>1</v>
      </c>
      <c r="N2436">
        <v>1</v>
      </c>
      <c r="O2436">
        <v>1</v>
      </c>
      <c r="P2436">
        <v>1</v>
      </c>
      <c r="Q2436">
        <v>1</v>
      </c>
      <c r="R2436">
        <v>1</v>
      </c>
      <c r="S2436">
        <v>1</v>
      </c>
    </row>
    <row r="2437" spans="1:19" x14ac:dyDescent="0.25">
      <c r="A2437" s="1">
        <v>0.76597890046296291</v>
      </c>
      <c r="B2437" s="145" t="s">
        <v>165</v>
      </c>
      <c r="C2437">
        <v>2436</v>
      </c>
      <c r="D2437">
        <v>1</v>
      </c>
      <c r="E2437">
        <v>1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1</v>
      </c>
      <c r="N2437">
        <v>1</v>
      </c>
      <c r="O2437">
        <v>1</v>
      </c>
      <c r="P2437">
        <v>1</v>
      </c>
      <c r="Q2437">
        <v>1</v>
      </c>
      <c r="R2437">
        <v>1</v>
      </c>
      <c r="S2437">
        <v>1</v>
      </c>
    </row>
    <row r="2438" spans="1:19" x14ac:dyDescent="0.25">
      <c r="A2438" s="1">
        <v>0.76597901620370368</v>
      </c>
      <c r="B2438" s="145" t="s">
        <v>165</v>
      </c>
      <c r="C2438">
        <v>2437</v>
      </c>
      <c r="D2438">
        <v>1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1</v>
      </c>
      <c r="M2438">
        <v>1</v>
      </c>
      <c r="N2438">
        <v>1</v>
      </c>
      <c r="O2438">
        <v>1</v>
      </c>
      <c r="P2438">
        <v>1</v>
      </c>
      <c r="Q2438">
        <v>1</v>
      </c>
      <c r="R2438">
        <v>1</v>
      </c>
      <c r="S2438">
        <v>1</v>
      </c>
    </row>
    <row r="2439" spans="1:19" x14ac:dyDescent="0.25">
      <c r="A2439" s="1">
        <v>0.76597913194444445</v>
      </c>
      <c r="B2439" s="145" t="s">
        <v>2</v>
      </c>
      <c r="C2439">
        <v>2438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1</v>
      </c>
      <c r="M2439">
        <v>1</v>
      </c>
      <c r="N2439">
        <v>1</v>
      </c>
      <c r="O2439">
        <v>1</v>
      </c>
      <c r="P2439">
        <v>1</v>
      </c>
      <c r="Q2439">
        <v>1</v>
      </c>
      <c r="R2439">
        <v>1</v>
      </c>
      <c r="S2439">
        <v>1</v>
      </c>
    </row>
    <row r="2440" spans="1:19" x14ac:dyDescent="0.25">
      <c r="A2440" s="1">
        <v>0.76597924768518522</v>
      </c>
      <c r="B2440" s="145" t="s">
        <v>2</v>
      </c>
      <c r="C2440">
        <v>2439</v>
      </c>
      <c r="D2440">
        <v>0</v>
      </c>
      <c r="E2440">
        <v>1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1</v>
      </c>
      <c r="O2440">
        <v>1</v>
      </c>
      <c r="P2440">
        <v>1</v>
      </c>
      <c r="Q2440">
        <v>1</v>
      </c>
      <c r="R2440">
        <v>1</v>
      </c>
      <c r="S2440">
        <v>1</v>
      </c>
    </row>
    <row r="2441" spans="1:19" x14ac:dyDescent="0.25">
      <c r="A2441" s="1">
        <v>0.76597936342592587</v>
      </c>
      <c r="B2441" s="145" t="s">
        <v>165</v>
      </c>
      <c r="C2441">
        <v>2440</v>
      </c>
      <c r="D2441">
        <v>1</v>
      </c>
      <c r="E2441">
        <v>1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1</v>
      </c>
      <c r="N2441">
        <v>1</v>
      </c>
      <c r="O2441">
        <v>1</v>
      </c>
      <c r="P2441">
        <v>1</v>
      </c>
      <c r="Q2441">
        <v>1</v>
      </c>
      <c r="R2441">
        <v>1</v>
      </c>
      <c r="S2441">
        <v>1</v>
      </c>
    </row>
    <row r="2442" spans="1:19" x14ac:dyDescent="0.25">
      <c r="A2442" s="1">
        <v>0.76597947916666664</v>
      </c>
      <c r="B2442" s="145" t="s">
        <v>165</v>
      </c>
      <c r="C2442">
        <v>2441</v>
      </c>
      <c r="D2442">
        <v>1</v>
      </c>
      <c r="E2442">
        <v>1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1</v>
      </c>
      <c r="O2442">
        <v>1</v>
      </c>
      <c r="P2442">
        <v>1</v>
      </c>
      <c r="Q2442">
        <v>1</v>
      </c>
      <c r="R2442">
        <v>1</v>
      </c>
      <c r="S2442">
        <v>1</v>
      </c>
    </row>
    <row r="2443" spans="1:19" x14ac:dyDescent="0.25">
      <c r="A2443" s="1">
        <v>0.76597959490740741</v>
      </c>
      <c r="B2443" s="145" t="s">
        <v>165</v>
      </c>
      <c r="C2443">
        <v>2442</v>
      </c>
      <c r="D2443">
        <v>1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1</v>
      </c>
      <c r="M2443">
        <v>1</v>
      </c>
      <c r="N2443">
        <v>1</v>
      </c>
      <c r="O2443">
        <v>1</v>
      </c>
      <c r="P2443">
        <v>1</v>
      </c>
      <c r="Q2443">
        <v>1</v>
      </c>
      <c r="R2443">
        <v>1</v>
      </c>
      <c r="S2443">
        <v>1</v>
      </c>
    </row>
    <row r="2444" spans="1:19" x14ac:dyDescent="0.25">
      <c r="A2444" s="1">
        <v>0.76597971064814818</v>
      </c>
      <c r="B2444" s="145" t="s">
        <v>165</v>
      </c>
      <c r="C2444">
        <v>2443</v>
      </c>
      <c r="D2444">
        <v>1</v>
      </c>
      <c r="E2444">
        <v>1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1</v>
      </c>
      <c r="N2444">
        <v>1</v>
      </c>
      <c r="O2444">
        <v>1</v>
      </c>
      <c r="P2444">
        <v>1</v>
      </c>
      <c r="Q2444">
        <v>1</v>
      </c>
      <c r="R2444">
        <v>1</v>
      </c>
      <c r="S2444">
        <v>1</v>
      </c>
    </row>
    <row r="2445" spans="1:19" x14ac:dyDescent="0.25">
      <c r="A2445" s="1">
        <v>0.76597982638888884</v>
      </c>
      <c r="B2445" s="145" t="s">
        <v>2</v>
      </c>
      <c r="C2445">
        <v>2444</v>
      </c>
      <c r="D2445">
        <v>0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1</v>
      </c>
      <c r="N2445">
        <v>1</v>
      </c>
      <c r="O2445">
        <v>1</v>
      </c>
      <c r="P2445">
        <v>1</v>
      </c>
      <c r="Q2445">
        <v>1</v>
      </c>
      <c r="R2445">
        <v>1</v>
      </c>
      <c r="S2445">
        <v>1</v>
      </c>
    </row>
    <row r="2446" spans="1:19" x14ac:dyDescent="0.25">
      <c r="A2446" s="1">
        <v>0.76597994212962961</v>
      </c>
      <c r="B2446" s="145" t="s">
        <v>2</v>
      </c>
      <c r="C2446">
        <v>2445</v>
      </c>
      <c r="D2446">
        <v>0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1</v>
      </c>
      <c r="M2446">
        <v>1</v>
      </c>
      <c r="N2446">
        <v>1</v>
      </c>
      <c r="O2446">
        <v>1</v>
      </c>
      <c r="P2446">
        <v>1</v>
      </c>
      <c r="Q2446">
        <v>1</v>
      </c>
      <c r="R2446">
        <v>1</v>
      </c>
      <c r="S2446">
        <v>1</v>
      </c>
    </row>
    <row r="2447" spans="1:19" x14ac:dyDescent="0.25">
      <c r="A2447" s="1">
        <v>0.76598005787037038</v>
      </c>
      <c r="B2447" s="145" t="s">
        <v>165</v>
      </c>
      <c r="C2447">
        <v>2446</v>
      </c>
      <c r="D2447">
        <v>1</v>
      </c>
      <c r="E2447">
        <v>1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1</v>
      </c>
      <c r="M2447">
        <v>1</v>
      </c>
      <c r="N2447">
        <v>1</v>
      </c>
      <c r="O2447">
        <v>1</v>
      </c>
      <c r="P2447">
        <v>1</v>
      </c>
      <c r="Q2447">
        <v>1</v>
      </c>
      <c r="R2447">
        <v>1</v>
      </c>
      <c r="S2447">
        <v>1</v>
      </c>
    </row>
    <row r="2448" spans="1:19" x14ac:dyDescent="0.25">
      <c r="A2448" s="1">
        <v>0.76598028935185181</v>
      </c>
      <c r="B2448" s="145" t="s">
        <v>165</v>
      </c>
      <c r="C2448">
        <v>2447</v>
      </c>
      <c r="D2448">
        <v>1</v>
      </c>
      <c r="E2448">
        <v>1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1</v>
      </c>
      <c r="N2448">
        <v>1</v>
      </c>
      <c r="O2448">
        <v>1</v>
      </c>
      <c r="P2448">
        <v>1</v>
      </c>
      <c r="Q2448">
        <v>1</v>
      </c>
      <c r="R2448">
        <v>1</v>
      </c>
      <c r="S2448">
        <v>1</v>
      </c>
    </row>
    <row r="2449" spans="1:19" x14ac:dyDescent="0.25">
      <c r="A2449" s="1">
        <v>0.76598040509259258</v>
      </c>
      <c r="B2449" s="145" t="s">
        <v>165</v>
      </c>
      <c r="C2449">
        <v>2448</v>
      </c>
      <c r="D2449">
        <v>1</v>
      </c>
      <c r="E2449">
        <v>1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1</v>
      </c>
      <c r="N2449">
        <v>1</v>
      </c>
      <c r="O2449">
        <v>1</v>
      </c>
      <c r="P2449">
        <v>1</v>
      </c>
      <c r="Q2449">
        <v>1</v>
      </c>
      <c r="R2449">
        <v>1</v>
      </c>
      <c r="S2449">
        <v>1</v>
      </c>
    </row>
    <row r="2450" spans="1:19" x14ac:dyDescent="0.25">
      <c r="A2450" s="1">
        <v>0.76598052083333334</v>
      </c>
      <c r="B2450" s="145" t="s">
        <v>2</v>
      </c>
      <c r="C2450">
        <v>2449</v>
      </c>
      <c r="D2450">
        <v>0</v>
      </c>
      <c r="E2450">
        <v>1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1</v>
      </c>
      <c r="M2450">
        <v>1</v>
      </c>
      <c r="N2450">
        <v>1</v>
      </c>
      <c r="O2450">
        <v>1</v>
      </c>
      <c r="P2450">
        <v>1</v>
      </c>
      <c r="Q2450">
        <v>1</v>
      </c>
      <c r="R2450">
        <v>1</v>
      </c>
      <c r="S2450">
        <v>1</v>
      </c>
    </row>
    <row r="2451" spans="1:19" x14ac:dyDescent="0.25">
      <c r="A2451" s="1">
        <v>0.76598063657407411</v>
      </c>
      <c r="B2451" s="145" t="s">
        <v>2</v>
      </c>
      <c r="C2451">
        <v>2450</v>
      </c>
      <c r="D2451">
        <v>0</v>
      </c>
      <c r="E2451">
        <v>1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1</v>
      </c>
      <c r="M2451">
        <v>1</v>
      </c>
      <c r="N2451">
        <v>1</v>
      </c>
      <c r="O2451">
        <v>1</v>
      </c>
      <c r="P2451">
        <v>1</v>
      </c>
      <c r="Q2451">
        <v>1</v>
      </c>
      <c r="R2451">
        <v>1</v>
      </c>
      <c r="S2451">
        <v>1</v>
      </c>
    </row>
    <row r="2452" spans="1:19" x14ac:dyDescent="0.25">
      <c r="A2452" s="1">
        <v>0.76598075231481477</v>
      </c>
      <c r="B2452" s="145" t="s">
        <v>165</v>
      </c>
      <c r="C2452">
        <v>2451</v>
      </c>
      <c r="D2452">
        <v>1</v>
      </c>
      <c r="E2452">
        <v>1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1</v>
      </c>
      <c r="O2452">
        <v>1</v>
      </c>
      <c r="P2452">
        <v>1</v>
      </c>
      <c r="Q2452">
        <v>1</v>
      </c>
      <c r="R2452">
        <v>1</v>
      </c>
      <c r="S2452">
        <v>1</v>
      </c>
    </row>
    <row r="2453" spans="1:19" x14ac:dyDescent="0.25">
      <c r="A2453" s="1">
        <v>0.76598086805555554</v>
      </c>
      <c r="B2453" s="145" t="s">
        <v>165</v>
      </c>
      <c r="C2453">
        <v>2452</v>
      </c>
      <c r="D2453">
        <v>1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1</v>
      </c>
      <c r="N2453">
        <v>1</v>
      </c>
      <c r="O2453">
        <v>1</v>
      </c>
      <c r="P2453">
        <v>1</v>
      </c>
      <c r="Q2453">
        <v>1</v>
      </c>
      <c r="R2453">
        <v>1</v>
      </c>
      <c r="S2453">
        <v>1</v>
      </c>
    </row>
    <row r="2454" spans="1:19" x14ac:dyDescent="0.25">
      <c r="A2454" s="1">
        <v>0.76598098379629631</v>
      </c>
      <c r="B2454" s="145" t="s">
        <v>165</v>
      </c>
      <c r="C2454">
        <v>2453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1</v>
      </c>
      <c r="M2454">
        <v>1</v>
      </c>
      <c r="N2454">
        <v>1</v>
      </c>
      <c r="O2454">
        <v>1</v>
      </c>
      <c r="P2454">
        <v>1</v>
      </c>
      <c r="Q2454">
        <v>1</v>
      </c>
      <c r="R2454">
        <v>1</v>
      </c>
      <c r="S2454">
        <v>1</v>
      </c>
    </row>
    <row r="2455" spans="1:19" x14ac:dyDescent="0.25">
      <c r="A2455" s="1">
        <v>0.76598109953703708</v>
      </c>
      <c r="B2455" s="145" t="s">
        <v>165</v>
      </c>
      <c r="C2455">
        <v>2454</v>
      </c>
      <c r="D2455">
        <v>1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1</v>
      </c>
      <c r="N2455">
        <v>1</v>
      </c>
      <c r="O2455">
        <v>1</v>
      </c>
      <c r="P2455">
        <v>1</v>
      </c>
      <c r="Q2455">
        <v>1</v>
      </c>
      <c r="R2455">
        <v>1</v>
      </c>
      <c r="S2455">
        <v>1</v>
      </c>
    </row>
    <row r="2456" spans="1:19" x14ac:dyDescent="0.25">
      <c r="A2456" s="1">
        <v>0.76598121527777774</v>
      </c>
      <c r="B2456" s="145" t="s">
        <v>2</v>
      </c>
      <c r="C2456">
        <v>2455</v>
      </c>
      <c r="D2456">
        <v>0</v>
      </c>
      <c r="E2456">
        <v>1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1</v>
      </c>
      <c r="N2456">
        <v>1</v>
      </c>
      <c r="O2456">
        <v>1</v>
      </c>
      <c r="P2456">
        <v>1</v>
      </c>
      <c r="Q2456">
        <v>1</v>
      </c>
      <c r="R2456">
        <v>1</v>
      </c>
      <c r="S2456">
        <v>1</v>
      </c>
    </row>
    <row r="2457" spans="1:19" x14ac:dyDescent="0.25">
      <c r="A2457" s="1">
        <v>0.76598133101851851</v>
      </c>
      <c r="B2457" s="145" t="s">
        <v>2</v>
      </c>
      <c r="C2457">
        <v>2456</v>
      </c>
      <c r="D2457">
        <v>0</v>
      </c>
      <c r="E2457">
        <v>1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1</v>
      </c>
      <c r="M2457">
        <v>1</v>
      </c>
      <c r="N2457">
        <v>1</v>
      </c>
      <c r="O2457">
        <v>1</v>
      </c>
      <c r="P2457">
        <v>1</v>
      </c>
      <c r="Q2457">
        <v>1</v>
      </c>
      <c r="R2457">
        <v>1</v>
      </c>
      <c r="S2457">
        <v>1</v>
      </c>
    </row>
    <row r="2458" spans="1:19" x14ac:dyDescent="0.25">
      <c r="A2458" s="1">
        <v>0.76598144675925928</v>
      </c>
      <c r="B2458" s="145" t="s">
        <v>165</v>
      </c>
      <c r="C2458">
        <v>2457</v>
      </c>
      <c r="D2458">
        <v>1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1</v>
      </c>
      <c r="O2458">
        <v>1</v>
      </c>
      <c r="P2458">
        <v>1</v>
      </c>
      <c r="Q2458">
        <v>1</v>
      </c>
      <c r="R2458">
        <v>1</v>
      </c>
      <c r="S2458">
        <v>1</v>
      </c>
    </row>
    <row r="2459" spans="1:19" x14ac:dyDescent="0.25">
      <c r="A2459" s="1">
        <v>0.76598156250000005</v>
      </c>
      <c r="B2459" s="145" t="s">
        <v>165</v>
      </c>
      <c r="C2459">
        <v>2458</v>
      </c>
      <c r="D2459">
        <v>1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1</v>
      </c>
      <c r="M2459">
        <v>1</v>
      </c>
      <c r="N2459">
        <v>1</v>
      </c>
      <c r="O2459">
        <v>1</v>
      </c>
      <c r="P2459">
        <v>1</v>
      </c>
      <c r="Q2459">
        <v>1</v>
      </c>
      <c r="R2459">
        <v>1</v>
      </c>
      <c r="S2459">
        <v>1</v>
      </c>
    </row>
    <row r="2460" spans="1:19" x14ac:dyDescent="0.25">
      <c r="A2460" s="1">
        <v>0.7659816782407407</v>
      </c>
      <c r="B2460" s="145" t="s">
        <v>165</v>
      </c>
      <c r="C2460">
        <v>2459</v>
      </c>
      <c r="D2460">
        <v>1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1</v>
      </c>
      <c r="M2460">
        <v>1</v>
      </c>
      <c r="N2460">
        <v>1</v>
      </c>
      <c r="O2460">
        <v>1</v>
      </c>
      <c r="P2460">
        <v>1</v>
      </c>
      <c r="Q2460">
        <v>1</v>
      </c>
      <c r="R2460">
        <v>1</v>
      </c>
      <c r="S2460">
        <v>1</v>
      </c>
    </row>
    <row r="2461" spans="1:19" x14ac:dyDescent="0.25">
      <c r="A2461" s="1">
        <v>0.76598179398148147</v>
      </c>
      <c r="B2461" s="145" t="s">
        <v>165</v>
      </c>
      <c r="C2461">
        <v>2460</v>
      </c>
      <c r="D2461">
        <v>1</v>
      </c>
      <c r="E2461">
        <v>1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1</v>
      </c>
      <c r="O2461">
        <v>1</v>
      </c>
      <c r="P2461">
        <v>1</v>
      </c>
      <c r="Q2461">
        <v>1</v>
      </c>
      <c r="R2461">
        <v>1</v>
      </c>
      <c r="S2461">
        <v>1</v>
      </c>
    </row>
    <row r="2462" spans="1:19" x14ac:dyDescent="0.25">
      <c r="A2462" s="1">
        <v>0.76598190972222224</v>
      </c>
      <c r="B2462" s="145" t="s">
        <v>2</v>
      </c>
      <c r="C2462">
        <v>2461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1</v>
      </c>
      <c r="M2462">
        <v>1</v>
      </c>
      <c r="N2462">
        <v>1</v>
      </c>
      <c r="O2462">
        <v>1</v>
      </c>
      <c r="P2462">
        <v>1</v>
      </c>
      <c r="Q2462">
        <v>1</v>
      </c>
      <c r="R2462">
        <v>1</v>
      </c>
      <c r="S2462">
        <v>1</v>
      </c>
    </row>
    <row r="2463" spans="1:19" x14ac:dyDescent="0.25">
      <c r="A2463" s="1">
        <v>0.76598202546296301</v>
      </c>
      <c r="B2463" s="145" t="s">
        <v>2</v>
      </c>
      <c r="C2463">
        <v>2462</v>
      </c>
      <c r="D2463">
        <v>0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1</v>
      </c>
      <c r="M2463">
        <v>1</v>
      </c>
      <c r="N2463">
        <v>1</v>
      </c>
      <c r="O2463">
        <v>1</v>
      </c>
      <c r="P2463">
        <v>1</v>
      </c>
      <c r="Q2463">
        <v>1</v>
      </c>
      <c r="R2463">
        <v>1</v>
      </c>
      <c r="S2463">
        <v>1</v>
      </c>
    </row>
    <row r="2464" spans="1:19" x14ac:dyDescent="0.25">
      <c r="A2464" s="1">
        <v>0.76598212962962964</v>
      </c>
      <c r="B2464" s="145" t="s">
        <v>165</v>
      </c>
      <c r="C2464">
        <v>2463</v>
      </c>
      <c r="D2464">
        <v>1</v>
      </c>
      <c r="E2464">
        <v>1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1</v>
      </c>
      <c r="O2464">
        <v>1</v>
      </c>
      <c r="P2464">
        <v>1</v>
      </c>
      <c r="Q2464">
        <v>1</v>
      </c>
      <c r="R2464">
        <v>1</v>
      </c>
      <c r="S2464">
        <v>1</v>
      </c>
    </row>
    <row r="2465" spans="1:19" x14ac:dyDescent="0.25">
      <c r="A2465" s="1">
        <v>0.76598224537037041</v>
      </c>
      <c r="B2465" s="145" t="s">
        <v>165</v>
      </c>
      <c r="C2465">
        <v>2464</v>
      </c>
      <c r="D2465">
        <v>1</v>
      </c>
      <c r="E2465">
        <v>1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1</v>
      </c>
      <c r="O2465">
        <v>1</v>
      </c>
      <c r="P2465">
        <v>1</v>
      </c>
      <c r="Q2465">
        <v>1</v>
      </c>
      <c r="R2465">
        <v>1</v>
      </c>
      <c r="S2465">
        <v>1</v>
      </c>
    </row>
    <row r="2466" spans="1:19" x14ac:dyDescent="0.25">
      <c r="A2466" s="1">
        <v>0.76598236111111107</v>
      </c>
      <c r="B2466" s="145" t="s">
        <v>165</v>
      </c>
      <c r="C2466">
        <v>2465</v>
      </c>
      <c r="D2466">
        <v>1</v>
      </c>
      <c r="E2466">
        <v>1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1</v>
      </c>
      <c r="O2466">
        <v>1</v>
      </c>
      <c r="P2466">
        <v>1</v>
      </c>
      <c r="Q2466">
        <v>1</v>
      </c>
      <c r="R2466">
        <v>1</v>
      </c>
      <c r="S2466">
        <v>1</v>
      </c>
    </row>
    <row r="2467" spans="1:19" x14ac:dyDescent="0.25">
      <c r="A2467" s="1">
        <v>0.76598247685185183</v>
      </c>
      <c r="B2467" s="145" t="s">
        <v>165</v>
      </c>
      <c r="C2467">
        <v>2466</v>
      </c>
      <c r="D2467">
        <v>1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1</v>
      </c>
      <c r="M2467">
        <v>1</v>
      </c>
      <c r="N2467">
        <v>1</v>
      </c>
      <c r="O2467">
        <v>1</v>
      </c>
      <c r="P2467">
        <v>1</v>
      </c>
      <c r="Q2467">
        <v>1</v>
      </c>
      <c r="R2467">
        <v>1</v>
      </c>
      <c r="S2467">
        <v>1</v>
      </c>
    </row>
    <row r="2468" spans="1:19" x14ac:dyDescent="0.25">
      <c r="A2468" s="1">
        <v>0.7659825925925926</v>
      </c>
      <c r="B2468" s="145" t="s">
        <v>2</v>
      </c>
      <c r="C2468">
        <v>2467</v>
      </c>
      <c r="D2468">
        <v>0</v>
      </c>
      <c r="E2468">
        <v>1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</v>
      </c>
      <c r="N2468">
        <v>1</v>
      </c>
      <c r="O2468">
        <v>1</v>
      </c>
      <c r="P2468">
        <v>1</v>
      </c>
      <c r="Q2468">
        <v>1</v>
      </c>
      <c r="R2468">
        <v>1</v>
      </c>
      <c r="S2468">
        <v>1</v>
      </c>
    </row>
    <row r="2469" spans="1:19" x14ac:dyDescent="0.25">
      <c r="A2469" s="1">
        <v>0.76598271990740741</v>
      </c>
      <c r="B2469" s="145" t="s">
        <v>2</v>
      </c>
      <c r="C2469">
        <v>2468</v>
      </c>
      <c r="D2469">
        <v>0</v>
      </c>
      <c r="E2469">
        <v>1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1</v>
      </c>
      <c r="N2469">
        <v>1</v>
      </c>
      <c r="O2469">
        <v>1</v>
      </c>
      <c r="P2469">
        <v>1</v>
      </c>
      <c r="Q2469">
        <v>1</v>
      </c>
      <c r="R2469">
        <v>1</v>
      </c>
      <c r="S2469">
        <v>1</v>
      </c>
    </row>
    <row r="2470" spans="1:19" x14ac:dyDescent="0.25">
      <c r="A2470" s="1">
        <v>0.76598282407407403</v>
      </c>
      <c r="B2470" s="145" t="s">
        <v>165</v>
      </c>
      <c r="C2470">
        <v>2469</v>
      </c>
      <c r="D2470">
        <v>1</v>
      </c>
      <c r="E2470">
        <v>1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</v>
      </c>
      <c r="N2470">
        <v>1</v>
      </c>
      <c r="O2470">
        <v>1</v>
      </c>
      <c r="P2470">
        <v>1</v>
      </c>
      <c r="Q2470">
        <v>1</v>
      </c>
      <c r="R2470">
        <v>1</v>
      </c>
      <c r="S2470">
        <v>1</v>
      </c>
    </row>
    <row r="2471" spans="1:19" x14ac:dyDescent="0.25">
      <c r="A2471" s="1">
        <v>0.7659829398148148</v>
      </c>
      <c r="B2471" s="145" t="s">
        <v>165</v>
      </c>
      <c r="C2471">
        <v>2470</v>
      </c>
      <c r="D2471">
        <v>1</v>
      </c>
      <c r="E2471">
        <v>1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1</v>
      </c>
      <c r="N2471">
        <v>1</v>
      </c>
      <c r="O2471">
        <v>1</v>
      </c>
      <c r="P2471">
        <v>1</v>
      </c>
      <c r="Q2471">
        <v>1</v>
      </c>
      <c r="R2471">
        <v>1</v>
      </c>
      <c r="S2471">
        <v>1</v>
      </c>
    </row>
    <row r="2472" spans="1:19" x14ac:dyDescent="0.25">
      <c r="A2472" s="1">
        <v>0.76598305555555557</v>
      </c>
      <c r="B2472" s="145" t="s">
        <v>165</v>
      </c>
      <c r="C2472">
        <v>2471</v>
      </c>
      <c r="D2472">
        <v>1</v>
      </c>
      <c r="E2472">
        <v>1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1</v>
      </c>
      <c r="R2472">
        <v>1</v>
      </c>
      <c r="S2472">
        <v>1</v>
      </c>
    </row>
    <row r="2473" spans="1:19" x14ac:dyDescent="0.25">
      <c r="A2473" s="1">
        <v>0.76598317129629634</v>
      </c>
      <c r="B2473" s="145" t="s">
        <v>165</v>
      </c>
      <c r="C2473">
        <v>2472</v>
      </c>
      <c r="D2473">
        <v>1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1</v>
      </c>
      <c r="N2473">
        <v>1</v>
      </c>
      <c r="O2473">
        <v>1</v>
      </c>
      <c r="P2473">
        <v>1</v>
      </c>
      <c r="Q2473">
        <v>1</v>
      </c>
      <c r="R2473">
        <v>1</v>
      </c>
      <c r="S2473">
        <v>1</v>
      </c>
    </row>
    <row r="2474" spans="1:19" x14ac:dyDescent="0.25">
      <c r="A2474" s="1">
        <v>0.765983287037037</v>
      </c>
      <c r="B2474" s="145" t="s">
        <v>2</v>
      </c>
      <c r="C2474">
        <v>2473</v>
      </c>
      <c r="D2474">
        <v>0</v>
      </c>
      <c r="E2474">
        <v>1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1</v>
      </c>
      <c r="M2474">
        <v>1</v>
      </c>
      <c r="N2474">
        <v>1</v>
      </c>
      <c r="O2474">
        <v>1</v>
      </c>
      <c r="P2474">
        <v>1</v>
      </c>
      <c r="Q2474">
        <v>1</v>
      </c>
      <c r="R2474">
        <v>1</v>
      </c>
      <c r="S2474">
        <v>1</v>
      </c>
    </row>
    <row r="2475" spans="1:19" x14ac:dyDescent="0.25">
      <c r="A2475" s="1">
        <v>0.76598340277777777</v>
      </c>
      <c r="B2475" s="145" t="s">
        <v>2</v>
      </c>
      <c r="C2475">
        <v>2474</v>
      </c>
      <c r="D2475">
        <v>0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1</v>
      </c>
      <c r="M2475">
        <v>1</v>
      </c>
      <c r="N2475">
        <v>1</v>
      </c>
      <c r="O2475">
        <v>1</v>
      </c>
      <c r="P2475">
        <v>1</v>
      </c>
      <c r="Q2475">
        <v>1</v>
      </c>
      <c r="R2475">
        <v>1</v>
      </c>
      <c r="S2475">
        <v>1</v>
      </c>
    </row>
    <row r="2476" spans="1:19" x14ac:dyDescent="0.25">
      <c r="A2476" s="1">
        <v>0.76598351851851854</v>
      </c>
      <c r="B2476" s="145" t="s">
        <v>165</v>
      </c>
      <c r="C2476">
        <v>2475</v>
      </c>
      <c r="D2476">
        <v>1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1</v>
      </c>
      <c r="N2476">
        <v>1</v>
      </c>
      <c r="O2476">
        <v>1</v>
      </c>
      <c r="P2476">
        <v>1</v>
      </c>
      <c r="Q2476">
        <v>1</v>
      </c>
      <c r="R2476">
        <v>1</v>
      </c>
      <c r="S2476">
        <v>1</v>
      </c>
    </row>
    <row r="2477" spans="1:19" x14ac:dyDescent="0.25">
      <c r="A2477" s="1">
        <v>0.76598363425925931</v>
      </c>
      <c r="B2477" s="145" t="s">
        <v>165</v>
      </c>
      <c r="C2477">
        <v>2476</v>
      </c>
      <c r="D2477">
        <v>1</v>
      </c>
      <c r="E2477">
        <v>1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1</v>
      </c>
      <c r="N2477">
        <v>1</v>
      </c>
      <c r="O2477">
        <v>1</v>
      </c>
      <c r="P2477">
        <v>1</v>
      </c>
      <c r="Q2477">
        <v>1</v>
      </c>
      <c r="R2477">
        <v>1</v>
      </c>
      <c r="S2477">
        <v>1</v>
      </c>
    </row>
    <row r="2478" spans="1:19" x14ac:dyDescent="0.25">
      <c r="A2478" s="1">
        <v>0.76598374999999996</v>
      </c>
      <c r="B2478" s="145" t="s">
        <v>165</v>
      </c>
      <c r="C2478">
        <v>2477</v>
      </c>
      <c r="D2478">
        <v>1</v>
      </c>
      <c r="E2478">
        <v>1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1</v>
      </c>
      <c r="N2478">
        <v>1</v>
      </c>
      <c r="O2478">
        <v>1</v>
      </c>
      <c r="P2478">
        <v>1</v>
      </c>
      <c r="Q2478">
        <v>1</v>
      </c>
      <c r="R2478">
        <v>1</v>
      </c>
      <c r="S2478">
        <v>1</v>
      </c>
    </row>
    <row r="2479" spans="1:19" x14ac:dyDescent="0.25">
      <c r="A2479" s="1">
        <v>0.76598386574074073</v>
      </c>
      <c r="B2479" s="145" t="s">
        <v>165</v>
      </c>
      <c r="C2479">
        <v>2478</v>
      </c>
      <c r="D2479">
        <v>1</v>
      </c>
      <c r="E2479">
        <v>1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1</v>
      </c>
      <c r="N2479">
        <v>1</v>
      </c>
      <c r="O2479">
        <v>1</v>
      </c>
      <c r="P2479">
        <v>1</v>
      </c>
      <c r="Q2479">
        <v>1</v>
      </c>
      <c r="R2479">
        <v>1</v>
      </c>
      <c r="S2479">
        <v>1</v>
      </c>
    </row>
    <row r="2480" spans="1:19" x14ac:dyDescent="0.25">
      <c r="A2480" s="1">
        <v>0.7659839814814815</v>
      </c>
      <c r="B2480" s="145" t="s">
        <v>2</v>
      </c>
      <c r="C2480">
        <v>2479</v>
      </c>
      <c r="D2480">
        <v>0</v>
      </c>
      <c r="E2480">
        <v>1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1</v>
      </c>
      <c r="N2480">
        <v>1</v>
      </c>
      <c r="O2480">
        <v>1</v>
      </c>
      <c r="P2480">
        <v>1</v>
      </c>
      <c r="Q2480">
        <v>1</v>
      </c>
      <c r="R2480">
        <v>1</v>
      </c>
      <c r="S2480">
        <v>1</v>
      </c>
    </row>
    <row r="2481" spans="1:19" x14ac:dyDescent="0.25">
      <c r="A2481" s="1">
        <v>0.76598409722222227</v>
      </c>
      <c r="B2481" s="145" t="s">
        <v>2</v>
      </c>
      <c r="C2481">
        <v>2480</v>
      </c>
      <c r="D2481">
        <v>0</v>
      </c>
      <c r="E2481">
        <v>1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1</v>
      </c>
      <c r="N2481">
        <v>1</v>
      </c>
      <c r="O2481">
        <v>1</v>
      </c>
      <c r="P2481">
        <v>1</v>
      </c>
      <c r="Q2481">
        <v>1</v>
      </c>
      <c r="R2481">
        <v>1</v>
      </c>
      <c r="S2481">
        <v>1</v>
      </c>
    </row>
    <row r="2482" spans="1:19" x14ac:dyDescent="0.25">
      <c r="A2482" s="1">
        <v>0.76598421296296293</v>
      </c>
      <c r="B2482" s="145" t="s">
        <v>165</v>
      </c>
      <c r="C2482">
        <v>2481</v>
      </c>
      <c r="D2482">
        <v>1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1</v>
      </c>
      <c r="M2482">
        <v>1</v>
      </c>
      <c r="N2482">
        <v>1</v>
      </c>
      <c r="O2482">
        <v>1</v>
      </c>
      <c r="P2482">
        <v>1</v>
      </c>
      <c r="Q2482">
        <v>1</v>
      </c>
      <c r="R2482">
        <v>1</v>
      </c>
      <c r="S2482">
        <v>1</v>
      </c>
    </row>
    <row r="2483" spans="1:19" x14ac:dyDescent="0.25">
      <c r="A2483" s="1">
        <v>0.7659843287037037</v>
      </c>
      <c r="B2483" s="145" t="s">
        <v>165</v>
      </c>
      <c r="C2483">
        <v>2482</v>
      </c>
      <c r="D2483">
        <v>1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1</v>
      </c>
      <c r="N2483">
        <v>1</v>
      </c>
      <c r="O2483">
        <v>1</v>
      </c>
      <c r="P2483">
        <v>1</v>
      </c>
      <c r="Q2483">
        <v>1</v>
      </c>
      <c r="R2483">
        <v>1</v>
      </c>
      <c r="S2483">
        <v>1</v>
      </c>
    </row>
    <row r="2484" spans="1:19" x14ac:dyDescent="0.25">
      <c r="A2484" s="1">
        <v>0.76598444444444447</v>
      </c>
      <c r="B2484" s="145" t="s">
        <v>165</v>
      </c>
      <c r="C2484">
        <v>2483</v>
      </c>
      <c r="D2484">
        <v>1</v>
      </c>
      <c r="E2484">
        <v>1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1</v>
      </c>
      <c r="M2484">
        <v>1</v>
      </c>
      <c r="N2484">
        <v>1</v>
      </c>
      <c r="O2484">
        <v>1</v>
      </c>
      <c r="P2484">
        <v>1</v>
      </c>
      <c r="Q2484">
        <v>1</v>
      </c>
      <c r="R2484">
        <v>1</v>
      </c>
      <c r="S2484">
        <v>1</v>
      </c>
    </row>
    <row r="2485" spans="1:19" x14ac:dyDescent="0.25">
      <c r="A2485" s="1">
        <v>0.76598456018518524</v>
      </c>
      <c r="B2485" s="145" t="s">
        <v>165</v>
      </c>
      <c r="C2485">
        <v>2484</v>
      </c>
      <c r="D2485">
        <v>1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</row>
    <row r="2486" spans="1:19" x14ac:dyDescent="0.25">
      <c r="A2486" s="1">
        <v>0.7659846759259259</v>
      </c>
      <c r="B2486" s="145" t="s">
        <v>2</v>
      </c>
      <c r="C2486">
        <v>2485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1</v>
      </c>
      <c r="N2486">
        <v>1</v>
      </c>
      <c r="O2486">
        <v>1</v>
      </c>
      <c r="P2486">
        <v>1</v>
      </c>
      <c r="Q2486">
        <v>1</v>
      </c>
      <c r="R2486">
        <v>1</v>
      </c>
      <c r="S2486">
        <v>1</v>
      </c>
    </row>
    <row r="2487" spans="1:19" x14ac:dyDescent="0.25">
      <c r="A2487" s="1">
        <v>0.76598479166666666</v>
      </c>
      <c r="B2487" s="145" t="s">
        <v>2</v>
      </c>
      <c r="C2487">
        <v>2486</v>
      </c>
      <c r="D2487">
        <v>0</v>
      </c>
      <c r="E2487">
        <v>1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1</v>
      </c>
      <c r="N2487">
        <v>1</v>
      </c>
      <c r="O2487">
        <v>1</v>
      </c>
      <c r="P2487">
        <v>1</v>
      </c>
      <c r="Q2487">
        <v>1</v>
      </c>
      <c r="R2487">
        <v>1</v>
      </c>
      <c r="S2487">
        <v>1</v>
      </c>
    </row>
    <row r="2488" spans="1:19" x14ac:dyDescent="0.25">
      <c r="A2488" s="1">
        <v>0.76598490740740743</v>
      </c>
      <c r="B2488" s="145" t="s">
        <v>165</v>
      </c>
      <c r="C2488">
        <v>2487</v>
      </c>
      <c r="D2488">
        <v>1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1</v>
      </c>
      <c r="N2488">
        <v>1</v>
      </c>
      <c r="O2488">
        <v>1</v>
      </c>
      <c r="P2488">
        <v>1</v>
      </c>
      <c r="Q2488">
        <v>1</v>
      </c>
      <c r="R2488">
        <v>1</v>
      </c>
      <c r="S2488">
        <v>1</v>
      </c>
    </row>
    <row r="2489" spans="1:19" x14ac:dyDescent="0.25">
      <c r="A2489" s="1">
        <v>0.7659850231481482</v>
      </c>
      <c r="B2489" s="145" t="s">
        <v>165</v>
      </c>
      <c r="C2489">
        <v>2488</v>
      </c>
      <c r="D2489">
        <v>1</v>
      </c>
      <c r="E2489">
        <v>1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1</v>
      </c>
      <c r="N2489">
        <v>1</v>
      </c>
      <c r="O2489">
        <v>1</v>
      </c>
      <c r="P2489">
        <v>1</v>
      </c>
      <c r="Q2489">
        <v>1</v>
      </c>
      <c r="R2489">
        <v>1</v>
      </c>
      <c r="S2489">
        <v>1</v>
      </c>
    </row>
    <row r="2490" spans="1:19" x14ac:dyDescent="0.25">
      <c r="A2490" s="1">
        <v>0.76598513888888886</v>
      </c>
      <c r="B2490" s="145" t="s">
        <v>165</v>
      </c>
      <c r="C2490">
        <v>2489</v>
      </c>
      <c r="D2490">
        <v>1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1</v>
      </c>
      <c r="N2490">
        <v>1</v>
      </c>
      <c r="O2490">
        <v>1</v>
      </c>
      <c r="P2490">
        <v>1</v>
      </c>
      <c r="Q2490">
        <v>1</v>
      </c>
      <c r="R2490">
        <v>1</v>
      </c>
      <c r="S2490">
        <v>1</v>
      </c>
    </row>
    <row r="2491" spans="1:19" x14ac:dyDescent="0.25">
      <c r="A2491" s="1">
        <v>0.76598525462962963</v>
      </c>
      <c r="B2491" s="145" t="s">
        <v>165</v>
      </c>
      <c r="C2491">
        <v>2490</v>
      </c>
      <c r="D2491">
        <v>1</v>
      </c>
      <c r="E2491">
        <v>1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1</v>
      </c>
      <c r="M2491">
        <v>1</v>
      </c>
      <c r="N2491">
        <v>1</v>
      </c>
      <c r="O2491">
        <v>1</v>
      </c>
      <c r="P2491">
        <v>1</v>
      </c>
      <c r="Q2491">
        <v>1</v>
      </c>
      <c r="R2491">
        <v>1</v>
      </c>
      <c r="S2491">
        <v>1</v>
      </c>
    </row>
    <row r="2492" spans="1:19" x14ac:dyDescent="0.25">
      <c r="A2492" s="1">
        <v>0.7659853703703704</v>
      </c>
      <c r="B2492" s="145" t="s">
        <v>2</v>
      </c>
      <c r="C2492">
        <v>2491</v>
      </c>
      <c r="D2492">
        <v>0</v>
      </c>
      <c r="E2492">
        <v>1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1</v>
      </c>
      <c r="N2492">
        <v>1</v>
      </c>
      <c r="O2492">
        <v>1</v>
      </c>
      <c r="P2492">
        <v>1</v>
      </c>
      <c r="Q2492">
        <v>1</v>
      </c>
      <c r="R2492">
        <v>1</v>
      </c>
      <c r="S2492">
        <v>1</v>
      </c>
    </row>
    <row r="2493" spans="1:19" x14ac:dyDescent="0.25">
      <c r="A2493" s="1">
        <v>0.76598548611111106</v>
      </c>
      <c r="B2493" s="145" t="s">
        <v>2</v>
      </c>
      <c r="C2493">
        <v>2492</v>
      </c>
      <c r="D2493">
        <v>0</v>
      </c>
      <c r="E2493">
        <v>1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</v>
      </c>
      <c r="N2493">
        <v>1</v>
      </c>
      <c r="O2493">
        <v>1</v>
      </c>
      <c r="P2493">
        <v>1</v>
      </c>
      <c r="Q2493">
        <v>1</v>
      </c>
      <c r="R2493">
        <v>1</v>
      </c>
      <c r="S2493">
        <v>1</v>
      </c>
    </row>
    <row r="2494" spans="1:19" x14ac:dyDescent="0.25">
      <c r="A2494" s="1">
        <v>0.76598560185185183</v>
      </c>
      <c r="B2494" s="145" t="s">
        <v>165</v>
      </c>
      <c r="C2494">
        <v>2493</v>
      </c>
      <c r="D2494">
        <v>1</v>
      </c>
      <c r="E2494">
        <v>1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</row>
    <row r="2495" spans="1:19" x14ac:dyDescent="0.25">
      <c r="A2495" s="1">
        <v>0.7659857175925926</v>
      </c>
      <c r="B2495" s="145" t="s">
        <v>165</v>
      </c>
      <c r="C2495">
        <v>2494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1</v>
      </c>
      <c r="N2495">
        <v>1</v>
      </c>
      <c r="O2495">
        <v>1</v>
      </c>
      <c r="P2495">
        <v>1</v>
      </c>
      <c r="Q2495">
        <v>1</v>
      </c>
      <c r="R2495">
        <v>1</v>
      </c>
      <c r="S2495">
        <v>1</v>
      </c>
    </row>
    <row r="2496" spans="1:19" x14ac:dyDescent="0.25">
      <c r="A2496" s="1">
        <v>0.76598583333333337</v>
      </c>
      <c r="B2496" s="145" t="s">
        <v>165</v>
      </c>
      <c r="C2496">
        <v>2495</v>
      </c>
      <c r="D2496">
        <v>1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1</v>
      </c>
      <c r="N2496">
        <v>1</v>
      </c>
      <c r="O2496">
        <v>1</v>
      </c>
      <c r="P2496">
        <v>1</v>
      </c>
      <c r="Q2496">
        <v>1</v>
      </c>
      <c r="R2496">
        <v>1</v>
      </c>
      <c r="S2496">
        <v>1</v>
      </c>
    </row>
    <row r="2497" spans="1:19" x14ac:dyDescent="0.25">
      <c r="A2497" s="1">
        <v>0.76598594907407402</v>
      </c>
      <c r="B2497" s="145" t="s">
        <v>165</v>
      </c>
      <c r="C2497">
        <v>2496</v>
      </c>
      <c r="D2497">
        <v>1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1</v>
      </c>
      <c r="M2497">
        <v>1</v>
      </c>
      <c r="N2497">
        <v>1</v>
      </c>
      <c r="O2497">
        <v>1</v>
      </c>
      <c r="P2497">
        <v>1</v>
      </c>
      <c r="Q2497">
        <v>1</v>
      </c>
      <c r="R2497">
        <v>1</v>
      </c>
      <c r="S2497">
        <v>1</v>
      </c>
    </row>
    <row r="2498" spans="1:19" x14ac:dyDescent="0.25">
      <c r="A2498" s="1">
        <v>0.76598606481481479</v>
      </c>
      <c r="B2498" s="145" t="s">
        <v>2</v>
      </c>
      <c r="C2498">
        <v>2497</v>
      </c>
      <c r="D2498">
        <v>0</v>
      </c>
      <c r="E2498">
        <v>1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1</v>
      </c>
      <c r="N2498">
        <v>1</v>
      </c>
      <c r="O2498">
        <v>1</v>
      </c>
      <c r="P2498">
        <v>1</v>
      </c>
      <c r="Q2498">
        <v>1</v>
      </c>
      <c r="R2498">
        <v>1</v>
      </c>
      <c r="S2498">
        <v>1</v>
      </c>
    </row>
    <row r="2499" spans="1:19" x14ac:dyDescent="0.25">
      <c r="A2499" s="1">
        <v>0.76598618055555556</v>
      </c>
      <c r="B2499" s="145" t="s">
        <v>2</v>
      </c>
      <c r="C2499">
        <v>2498</v>
      </c>
      <c r="D2499">
        <v>0</v>
      </c>
      <c r="E2499">
        <v>1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1</v>
      </c>
      <c r="N2499">
        <v>1</v>
      </c>
      <c r="O2499">
        <v>1</v>
      </c>
      <c r="P2499">
        <v>1</v>
      </c>
      <c r="Q2499">
        <v>1</v>
      </c>
      <c r="R2499">
        <v>1</v>
      </c>
      <c r="S2499">
        <v>1</v>
      </c>
    </row>
    <row r="2500" spans="1:19" x14ac:dyDescent="0.25">
      <c r="A2500" s="1">
        <v>0.76598629629629633</v>
      </c>
      <c r="B2500" s="145" t="s">
        <v>165</v>
      </c>
      <c r="C2500">
        <v>2499</v>
      </c>
      <c r="D2500">
        <v>1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1</v>
      </c>
      <c r="N2500">
        <v>1</v>
      </c>
      <c r="O2500">
        <v>1</v>
      </c>
      <c r="P2500">
        <v>1</v>
      </c>
      <c r="Q2500">
        <v>1</v>
      </c>
      <c r="R2500">
        <v>1</v>
      </c>
      <c r="S2500">
        <v>1</v>
      </c>
    </row>
    <row r="2501" spans="1:19" x14ac:dyDescent="0.25">
      <c r="A2501" s="1">
        <v>0.76598641203703699</v>
      </c>
      <c r="B2501" s="145" t="s">
        <v>165</v>
      </c>
      <c r="C2501">
        <v>2500</v>
      </c>
      <c r="D2501">
        <v>1</v>
      </c>
      <c r="E2501">
        <v>1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1</v>
      </c>
      <c r="N2501">
        <v>1</v>
      </c>
      <c r="O2501">
        <v>1</v>
      </c>
      <c r="P2501">
        <v>1</v>
      </c>
      <c r="Q2501">
        <v>1</v>
      </c>
      <c r="R2501">
        <v>1</v>
      </c>
      <c r="S2501">
        <v>1</v>
      </c>
    </row>
    <row r="2502" spans="1:19" x14ac:dyDescent="0.25">
      <c r="A2502" s="1">
        <v>0.76598652777777776</v>
      </c>
      <c r="B2502" s="145" t="s">
        <v>165</v>
      </c>
      <c r="C2502">
        <v>2501</v>
      </c>
      <c r="D2502">
        <v>1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1</v>
      </c>
      <c r="M2502">
        <v>1</v>
      </c>
      <c r="N2502">
        <v>1</v>
      </c>
      <c r="O2502">
        <v>1</v>
      </c>
      <c r="P2502">
        <v>1</v>
      </c>
      <c r="Q2502">
        <v>1</v>
      </c>
      <c r="R2502">
        <v>1</v>
      </c>
      <c r="S2502">
        <v>1</v>
      </c>
    </row>
    <row r="2503" spans="1:19" x14ac:dyDescent="0.25">
      <c r="A2503" s="1">
        <v>0.76598664351851853</v>
      </c>
      <c r="B2503" s="145" t="s">
        <v>165</v>
      </c>
      <c r="C2503">
        <v>2502</v>
      </c>
      <c r="D2503">
        <v>1</v>
      </c>
      <c r="E2503">
        <v>1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1</v>
      </c>
      <c r="M2503">
        <v>1</v>
      </c>
      <c r="N2503">
        <v>1</v>
      </c>
      <c r="O2503">
        <v>1</v>
      </c>
      <c r="P2503">
        <v>1</v>
      </c>
      <c r="Q2503">
        <v>1</v>
      </c>
      <c r="R2503">
        <v>1</v>
      </c>
      <c r="S2503">
        <v>1</v>
      </c>
    </row>
    <row r="2504" spans="1:19" x14ac:dyDescent="0.25">
      <c r="A2504" s="1">
        <v>0.7659867592592593</v>
      </c>
      <c r="B2504" s="145" t="s">
        <v>2</v>
      </c>
      <c r="C2504">
        <v>2503</v>
      </c>
      <c r="D2504">
        <v>0</v>
      </c>
      <c r="E2504">
        <v>1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1</v>
      </c>
      <c r="O2504">
        <v>1</v>
      </c>
      <c r="P2504">
        <v>1</v>
      </c>
      <c r="Q2504">
        <v>1</v>
      </c>
      <c r="R2504">
        <v>1</v>
      </c>
      <c r="S2504">
        <v>1</v>
      </c>
    </row>
    <row r="2505" spans="1:19" x14ac:dyDescent="0.25">
      <c r="A2505" s="1">
        <v>0.76598687499999996</v>
      </c>
      <c r="B2505" s="145" t="s">
        <v>2</v>
      </c>
      <c r="C2505">
        <v>2504</v>
      </c>
      <c r="D2505">
        <v>0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1</v>
      </c>
      <c r="M2505">
        <v>1</v>
      </c>
      <c r="N2505">
        <v>1</v>
      </c>
      <c r="O2505">
        <v>1</v>
      </c>
      <c r="P2505">
        <v>1</v>
      </c>
      <c r="Q2505">
        <v>1</v>
      </c>
      <c r="R2505">
        <v>1</v>
      </c>
      <c r="S2505">
        <v>1</v>
      </c>
    </row>
    <row r="2506" spans="1:19" x14ac:dyDescent="0.25">
      <c r="A2506" s="1">
        <v>0.76598699074074073</v>
      </c>
      <c r="B2506" s="145" t="s">
        <v>165</v>
      </c>
      <c r="C2506">
        <v>2505</v>
      </c>
      <c r="D2506">
        <v>1</v>
      </c>
      <c r="E2506">
        <v>1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1</v>
      </c>
      <c r="N2506">
        <v>1</v>
      </c>
      <c r="O2506">
        <v>1</v>
      </c>
      <c r="P2506">
        <v>1</v>
      </c>
      <c r="Q2506">
        <v>1</v>
      </c>
      <c r="R2506">
        <v>1</v>
      </c>
      <c r="S2506">
        <v>1</v>
      </c>
    </row>
    <row r="2507" spans="1:19" x14ac:dyDescent="0.25">
      <c r="A2507" s="1">
        <v>0.76598710648148149</v>
      </c>
      <c r="B2507" s="145" t="s">
        <v>165</v>
      </c>
      <c r="C2507">
        <v>2506</v>
      </c>
      <c r="D2507">
        <v>1</v>
      </c>
      <c r="E2507">
        <v>1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1</v>
      </c>
      <c r="N2507">
        <v>1</v>
      </c>
      <c r="O2507">
        <v>1</v>
      </c>
      <c r="P2507">
        <v>1</v>
      </c>
      <c r="Q2507">
        <v>1</v>
      </c>
      <c r="R2507">
        <v>1</v>
      </c>
      <c r="S2507">
        <v>1</v>
      </c>
    </row>
    <row r="2508" spans="1:19" x14ac:dyDescent="0.25">
      <c r="A2508" s="1">
        <v>0.76598722222222226</v>
      </c>
      <c r="B2508" s="145" t="s">
        <v>165</v>
      </c>
      <c r="C2508">
        <v>2507</v>
      </c>
      <c r="D2508">
        <v>1</v>
      </c>
      <c r="E2508">
        <v>1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1</v>
      </c>
      <c r="O2508">
        <v>1</v>
      </c>
      <c r="P2508">
        <v>1</v>
      </c>
      <c r="Q2508">
        <v>1</v>
      </c>
      <c r="R2508">
        <v>1</v>
      </c>
      <c r="S2508">
        <v>1</v>
      </c>
    </row>
    <row r="2509" spans="1:19" x14ac:dyDescent="0.25">
      <c r="A2509" s="1">
        <v>0.76598733796296292</v>
      </c>
      <c r="B2509" s="145" t="s">
        <v>165</v>
      </c>
      <c r="C2509">
        <v>2508</v>
      </c>
      <c r="D2509">
        <v>1</v>
      </c>
      <c r="E2509">
        <v>1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1</v>
      </c>
      <c r="N2509">
        <v>1</v>
      </c>
      <c r="O2509">
        <v>1</v>
      </c>
      <c r="P2509">
        <v>1</v>
      </c>
      <c r="Q2509">
        <v>1</v>
      </c>
      <c r="R2509">
        <v>1</v>
      </c>
      <c r="S2509">
        <v>1</v>
      </c>
    </row>
    <row r="2510" spans="1:19" x14ac:dyDescent="0.25">
      <c r="A2510" s="1">
        <v>0.76598745370370369</v>
      </c>
      <c r="B2510" s="145" t="s">
        <v>2</v>
      </c>
      <c r="C2510">
        <v>2509</v>
      </c>
      <c r="D2510">
        <v>0</v>
      </c>
      <c r="E2510">
        <v>1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1</v>
      </c>
      <c r="M2510">
        <v>1</v>
      </c>
      <c r="N2510">
        <v>1</v>
      </c>
      <c r="O2510">
        <v>1</v>
      </c>
      <c r="P2510">
        <v>1</v>
      </c>
      <c r="Q2510">
        <v>1</v>
      </c>
      <c r="R2510">
        <v>1</v>
      </c>
      <c r="S2510">
        <v>1</v>
      </c>
    </row>
    <row r="2511" spans="1:19" x14ac:dyDescent="0.25">
      <c r="A2511" s="1">
        <v>0.76598756944444446</v>
      </c>
      <c r="B2511" s="145" t="s">
        <v>2</v>
      </c>
      <c r="C2511">
        <v>2510</v>
      </c>
      <c r="D2511">
        <v>0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1</v>
      </c>
      <c r="N2511">
        <v>1</v>
      </c>
      <c r="O2511">
        <v>1</v>
      </c>
      <c r="P2511">
        <v>1</v>
      </c>
      <c r="Q2511">
        <v>1</v>
      </c>
      <c r="R2511">
        <v>1</v>
      </c>
      <c r="S2511">
        <v>1</v>
      </c>
    </row>
    <row r="2512" spans="1:19" x14ac:dyDescent="0.25">
      <c r="A2512" s="1">
        <v>0.76598768518518523</v>
      </c>
      <c r="B2512" s="145" t="s">
        <v>165</v>
      </c>
      <c r="C2512">
        <v>2511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1</v>
      </c>
      <c r="N2512">
        <v>1</v>
      </c>
      <c r="O2512">
        <v>1</v>
      </c>
      <c r="P2512">
        <v>1</v>
      </c>
      <c r="Q2512">
        <v>1</v>
      </c>
      <c r="R2512">
        <v>1</v>
      </c>
      <c r="S2512">
        <v>1</v>
      </c>
    </row>
    <row r="2513" spans="1:19" x14ac:dyDescent="0.25">
      <c r="A2513" s="1">
        <v>0.76598780092592589</v>
      </c>
      <c r="B2513" s="145" t="s">
        <v>165</v>
      </c>
      <c r="C2513">
        <v>2512</v>
      </c>
      <c r="D2513">
        <v>1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1</v>
      </c>
      <c r="O2513">
        <v>1</v>
      </c>
      <c r="P2513">
        <v>1</v>
      </c>
      <c r="Q2513">
        <v>1</v>
      </c>
      <c r="R2513">
        <v>1</v>
      </c>
      <c r="S2513">
        <v>1</v>
      </c>
    </row>
    <row r="2514" spans="1:19" x14ac:dyDescent="0.25">
      <c r="A2514" s="1">
        <v>0.76598791666666666</v>
      </c>
      <c r="B2514" s="145" t="s">
        <v>165</v>
      </c>
      <c r="C2514">
        <v>2513</v>
      </c>
      <c r="D2514">
        <v>1</v>
      </c>
      <c r="E2514">
        <v>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1</v>
      </c>
      <c r="N2514">
        <v>1</v>
      </c>
      <c r="O2514">
        <v>1</v>
      </c>
      <c r="P2514">
        <v>1</v>
      </c>
      <c r="Q2514">
        <v>1</v>
      </c>
      <c r="R2514">
        <v>1</v>
      </c>
      <c r="S2514">
        <v>1</v>
      </c>
    </row>
    <row r="2515" spans="1:19" x14ac:dyDescent="0.25">
      <c r="A2515" s="1">
        <v>0.76598803240740743</v>
      </c>
      <c r="B2515" s="145" t="s">
        <v>165</v>
      </c>
      <c r="C2515">
        <v>2514</v>
      </c>
      <c r="D2515">
        <v>1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1</v>
      </c>
      <c r="N2515">
        <v>1</v>
      </c>
      <c r="O2515">
        <v>1</v>
      </c>
      <c r="P2515">
        <v>1</v>
      </c>
      <c r="Q2515">
        <v>1</v>
      </c>
      <c r="R2515">
        <v>1</v>
      </c>
      <c r="S2515">
        <v>1</v>
      </c>
    </row>
    <row r="2516" spans="1:19" x14ac:dyDescent="0.25">
      <c r="A2516" s="1">
        <v>0.7659881481481482</v>
      </c>
      <c r="B2516" s="145" t="s">
        <v>2</v>
      </c>
      <c r="C2516">
        <v>2515</v>
      </c>
      <c r="D2516">
        <v>0</v>
      </c>
      <c r="E2516">
        <v>1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</v>
      </c>
      <c r="N2516">
        <v>1</v>
      </c>
      <c r="O2516">
        <v>1</v>
      </c>
      <c r="P2516">
        <v>1</v>
      </c>
      <c r="Q2516">
        <v>1</v>
      </c>
      <c r="R2516">
        <v>1</v>
      </c>
      <c r="S2516">
        <v>1</v>
      </c>
    </row>
    <row r="2517" spans="1:19" x14ac:dyDescent="0.25">
      <c r="A2517" s="1">
        <v>0.76598826388888885</v>
      </c>
      <c r="B2517" s="145" t="s">
        <v>2</v>
      </c>
      <c r="C2517">
        <v>2516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1</v>
      </c>
      <c r="M2517">
        <v>1</v>
      </c>
      <c r="N2517">
        <v>1</v>
      </c>
      <c r="O2517">
        <v>1</v>
      </c>
      <c r="P2517">
        <v>1</v>
      </c>
      <c r="Q2517">
        <v>1</v>
      </c>
      <c r="R2517">
        <v>1</v>
      </c>
      <c r="S2517">
        <v>1</v>
      </c>
    </row>
    <row r="2518" spans="1:19" x14ac:dyDescent="0.25">
      <c r="A2518" s="1">
        <v>0.76598837962962962</v>
      </c>
      <c r="B2518" s="145" t="s">
        <v>165</v>
      </c>
      <c r="C2518">
        <v>2517</v>
      </c>
      <c r="D2518">
        <v>1</v>
      </c>
      <c r="E2518">
        <v>1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1</v>
      </c>
      <c r="N2518">
        <v>1</v>
      </c>
      <c r="O2518">
        <v>1</v>
      </c>
      <c r="P2518">
        <v>1</v>
      </c>
      <c r="Q2518">
        <v>1</v>
      </c>
      <c r="R2518">
        <v>1</v>
      </c>
      <c r="S2518">
        <v>1</v>
      </c>
    </row>
    <row r="2519" spans="1:19" x14ac:dyDescent="0.25">
      <c r="A2519" s="1">
        <v>0.76598849537037039</v>
      </c>
      <c r="B2519" s="145" t="s">
        <v>165</v>
      </c>
      <c r="C2519">
        <v>2518</v>
      </c>
      <c r="D2519">
        <v>1</v>
      </c>
      <c r="E2519">
        <v>1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1</v>
      </c>
      <c r="M2519">
        <v>1</v>
      </c>
      <c r="N2519">
        <v>1</v>
      </c>
      <c r="O2519">
        <v>1</v>
      </c>
      <c r="P2519">
        <v>1</v>
      </c>
      <c r="Q2519">
        <v>1</v>
      </c>
      <c r="R2519">
        <v>1</v>
      </c>
      <c r="S2519">
        <v>1</v>
      </c>
    </row>
    <row r="2520" spans="1:19" x14ac:dyDescent="0.25">
      <c r="A2520" s="1">
        <v>0.76598861111111116</v>
      </c>
      <c r="B2520" s="145" t="s">
        <v>165</v>
      </c>
      <c r="C2520">
        <v>2519</v>
      </c>
      <c r="D2520">
        <v>1</v>
      </c>
      <c r="E2520">
        <v>1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1</v>
      </c>
      <c r="N2520">
        <v>1</v>
      </c>
      <c r="O2520">
        <v>1</v>
      </c>
      <c r="P2520">
        <v>1</v>
      </c>
      <c r="Q2520">
        <v>1</v>
      </c>
      <c r="R2520">
        <v>1</v>
      </c>
      <c r="S2520">
        <v>1</v>
      </c>
    </row>
    <row r="2521" spans="1:19" x14ac:dyDescent="0.25">
      <c r="A2521" s="1">
        <v>0.76598872685185182</v>
      </c>
      <c r="B2521" s="145" t="s">
        <v>165</v>
      </c>
      <c r="C2521">
        <v>2520</v>
      </c>
      <c r="D2521">
        <v>1</v>
      </c>
      <c r="E2521">
        <v>1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1</v>
      </c>
      <c r="M2521">
        <v>1</v>
      </c>
      <c r="N2521">
        <v>1</v>
      </c>
      <c r="O2521">
        <v>1</v>
      </c>
      <c r="P2521">
        <v>1</v>
      </c>
      <c r="Q2521">
        <v>1</v>
      </c>
      <c r="R2521">
        <v>1</v>
      </c>
      <c r="S2521">
        <v>1</v>
      </c>
    </row>
    <row r="2522" spans="1:19" x14ac:dyDescent="0.25">
      <c r="A2522" s="1">
        <v>0.76598884259259259</v>
      </c>
      <c r="B2522" s="145" t="s">
        <v>2</v>
      </c>
      <c r="C2522">
        <v>2521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1</v>
      </c>
      <c r="M2522">
        <v>1</v>
      </c>
      <c r="N2522">
        <v>1</v>
      </c>
      <c r="O2522">
        <v>1</v>
      </c>
      <c r="P2522">
        <v>1</v>
      </c>
      <c r="Q2522">
        <v>1</v>
      </c>
      <c r="R2522">
        <v>1</v>
      </c>
      <c r="S2522">
        <v>1</v>
      </c>
    </row>
    <row r="2523" spans="1:19" x14ac:dyDescent="0.25">
      <c r="A2523" s="1">
        <v>0.76598895833333336</v>
      </c>
      <c r="B2523" s="145" t="s">
        <v>2</v>
      </c>
      <c r="C2523">
        <v>2522</v>
      </c>
      <c r="D2523">
        <v>0</v>
      </c>
      <c r="E2523">
        <v>1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1</v>
      </c>
      <c r="M2523">
        <v>1</v>
      </c>
      <c r="N2523">
        <v>1</v>
      </c>
      <c r="O2523">
        <v>1</v>
      </c>
      <c r="P2523">
        <v>1</v>
      </c>
      <c r="Q2523">
        <v>1</v>
      </c>
      <c r="R2523">
        <v>1</v>
      </c>
      <c r="S2523">
        <v>1</v>
      </c>
    </row>
    <row r="2524" spans="1:19" x14ac:dyDescent="0.25">
      <c r="A2524" s="1">
        <v>0.76598906249999998</v>
      </c>
      <c r="B2524" s="145" t="s">
        <v>165</v>
      </c>
      <c r="C2524">
        <v>2523</v>
      </c>
      <c r="D2524">
        <v>1</v>
      </c>
      <c r="E2524">
        <v>1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1</v>
      </c>
      <c r="M2524">
        <v>1</v>
      </c>
      <c r="N2524">
        <v>1</v>
      </c>
      <c r="O2524">
        <v>1</v>
      </c>
      <c r="P2524">
        <v>1</v>
      </c>
      <c r="Q2524">
        <v>1</v>
      </c>
      <c r="R2524">
        <v>1</v>
      </c>
      <c r="S2524">
        <v>1</v>
      </c>
    </row>
    <row r="2525" spans="1:19" x14ac:dyDescent="0.25">
      <c r="A2525" s="1">
        <v>0.76598917824074075</v>
      </c>
      <c r="B2525" s="145" t="s">
        <v>165</v>
      </c>
      <c r="C2525">
        <v>2524</v>
      </c>
      <c r="D2525">
        <v>1</v>
      </c>
      <c r="E2525">
        <v>1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1</v>
      </c>
      <c r="O2525">
        <v>1</v>
      </c>
      <c r="P2525">
        <v>1</v>
      </c>
      <c r="Q2525">
        <v>1</v>
      </c>
      <c r="R2525">
        <v>1</v>
      </c>
      <c r="S2525">
        <v>1</v>
      </c>
    </row>
    <row r="2526" spans="1:19" x14ac:dyDescent="0.25">
      <c r="A2526" s="1">
        <v>0.76598929398148152</v>
      </c>
      <c r="B2526" s="145" t="s">
        <v>165</v>
      </c>
      <c r="C2526">
        <v>2525</v>
      </c>
      <c r="D2526">
        <v>1</v>
      </c>
      <c r="E2526">
        <v>1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1</v>
      </c>
      <c r="M2526">
        <v>1</v>
      </c>
      <c r="N2526">
        <v>1</v>
      </c>
      <c r="O2526">
        <v>1</v>
      </c>
      <c r="P2526">
        <v>1</v>
      </c>
      <c r="Q2526">
        <v>1</v>
      </c>
      <c r="R2526">
        <v>1</v>
      </c>
      <c r="S2526">
        <v>1</v>
      </c>
    </row>
    <row r="2527" spans="1:19" x14ac:dyDescent="0.25">
      <c r="A2527" s="1">
        <v>0.76598940972222218</v>
      </c>
      <c r="B2527" s="145" t="s">
        <v>165</v>
      </c>
      <c r="C2527">
        <v>2526</v>
      </c>
      <c r="D2527">
        <v>1</v>
      </c>
      <c r="E2527">
        <v>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1</v>
      </c>
      <c r="N2527">
        <v>1</v>
      </c>
      <c r="O2527">
        <v>1</v>
      </c>
      <c r="P2527">
        <v>1</v>
      </c>
      <c r="Q2527">
        <v>1</v>
      </c>
      <c r="R2527">
        <v>1</v>
      </c>
      <c r="S2527">
        <v>1</v>
      </c>
    </row>
    <row r="2528" spans="1:19" x14ac:dyDescent="0.25">
      <c r="A2528" s="1">
        <v>0.76598952546296295</v>
      </c>
      <c r="B2528" s="145" t="s">
        <v>2</v>
      </c>
      <c r="C2528">
        <v>2527</v>
      </c>
      <c r="D2528">
        <v>0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1</v>
      </c>
      <c r="N2528">
        <v>1</v>
      </c>
      <c r="O2528">
        <v>1</v>
      </c>
      <c r="P2528">
        <v>1</v>
      </c>
      <c r="Q2528">
        <v>1</v>
      </c>
      <c r="R2528">
        <v>1</v>
      </c>
      <c r="S2528">
        <v>1</v>
      </c>
    </row>
    <row r="2529" spans="1:19" x14ac:dyDescent="0.25">
      <c r="A2529" s="1">
        <v>0.76598964120370372</v>
      </c>
      <c r="B2529" s="145" t="s">
        <v>2</v>
      </c>
      <c r="C2529">
        <v>2528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</row>
    <row r="2530" spans="1:19" x14ac:dyDescent="0.25">
      <c r="A2530" s="1">
        <v>0.76598975694444449</v>
      </c>
      <c r="B2530" s="145" t="s">
        <v>165</v>
      </c>
      <c r="C2530">
        <v>2529</v>
      </c>
      <c r="D2530">
        <v>1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1</v>
      </c>
      <c r="N2530">
        <v>1</v>
      </c>
      <c r="O2530">
        <v>1</v>
      </c>
      <c r="P2530">
        <v>1</v>
      </c>
      <c r="Q2530">
        <v>1</v>
      </c>
      <c r="R2530">
        <v>1</v>
      </c>
      <c r="S2530">
        <v>1</v>
      </c>
    </row>
    <row r="2531" spans="1:19" x14ac:dyDescent="0.25">
      <c r="A2531" s="1">
        <v>0.76598987268518515</v>
      </c>
      <c r="B2531" s="145" t="s">
        <v>165</v>
      </c>
      <c r="C2531">
        <v>2530</v>
      </c>
      <c r="D2531">
        <v>1</v>
      </c>
      <c r="E2531">
        <v>1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1</v>
      </c>
      <c r="M2531">
        <v>1</v>
      </c>
      <c r="N2531">
        <v>1</v>
      </c>
      <c r="O2531">
        <v>1</v>
      </c>
      <c r="P2531">
        <v>1</v>
      </c>
      <c r="Q2531">
        <v>1</v>
      </c>
      <c r="R2531">
        <v>1</v>
      </c>
      <c r="S2531">
        <v>1</v>
      </c>
    </row>
    <row r="2532" spans="1:19" x14ac:dyDescent="0.25">
      <c r="A2532" s="1">
        <v>0.76598998842592592</v>
      </c>
      <c r="B2532" s="145" t="s">
        <v>165</v>
      </c>
      <c r="C2532">
        <v>2531</v>
      </c>
      <c r="D2532">
        <v>1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1</v>
      </c>
      <c r="M2532">
        <v>1</v>
      </c>
      <c r="N2532">
        <v>1</v>
      </c>
      <c r="O2532">
        <v>1</v>
      </c>
      <c r="P2532">
        <v>1</v>
      </c>
      <c r="Q2532">
        <v>1</v>
      </c>
      <c r="R2532">
        <v>1</v>
      </c>
      <c r="S2532">
        <v>1</v>
      </c>
    </row>
    <row r="2533" spans="1:19" x14ac:dyDescent="0.25">
      <c r="A2533" s="1">
        <v>0.76599010416666669</v>
      </c>
      <c r="B2533" s="145" t="s">
        <v>165</v>
      </c>
      <c r="C2533">
        <v>2532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1</v>
      </c>
      <c r="N2533">
        <v>1</v>
      </c>
      <c r="O2533">
        <v>1</v>
      </c>
      <c r="P2533">
        <v>1</v>
      </c>
      <c r="Q2533">
        <v>1</v>
      </c>
      <c r="R2533">
        <v>1</v>
      </c>
      <c r="S2533">
        <v>1</v>
      </c>
    </row>
    <row r="2534" spans="1:19" x14ac:dyDescent="0.25">
      <c r="A2534" s="1">
        <v>0.76599021990740745</v>
      </c>
      <c r="B2534" s="145" t="s">
        <v>2</v>
      </c>
      <c r="C2534">
        <v>2533</v>
      </c>
      <c r="D2534">
        <v>0</v>
      </c>
      <c r="E2534">
        <v>1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1</v>
      </c>
      <c r="N2534">
        <v>1</v>
      </c>
      <c r="O2534">
        <v>1</v>
      </c>
      <c r="P2534">
        <v>1</v>
      </c>
      <c r="Q2534">
        <v>1</v>
      </c>
      <c r="R2534">
        <v>1</v>
      </c>
      <c r="S2534">
        <v>1</v>
      </c>
    </row>
    <row r="2535" spans="1:19" x14ac:dyDescent="0.25">
      <c r="A2535" s="1">
        <v>0.76599033564814811</v>
      </c>
      <c r="B2535" s="145" t="s">
        <v>2</v>
      </c>
      <c r="C2535">
        <v>2534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1</v>
      </c>
      <c r="N2535">
        <v>1</v>
      </c>
      <c r="O2535">
        <v>1</v>
      </c>
      <c r="P2535">
        <v>1</v>
      </c>
      <c r="Q2535">
        <v>1</v>
      </c>
      <c r="R2535">
        <v>1</v>
      </c>
      <c r="S2535">
        <v>1</v>
      </c>
    </row>
    <row r="2536" spans="1:19" x14ac:dyDescent="0.25">
      <c r="A2536" s="1">
        <v>0.76599045138888888</v>
      </c>
      <c r="B2536" s="145" t="s">
        <v>165</v>
      </c>
      <c r="C2536">
        <v>2535</v>
      </c>
      <c r="D2536">
        <v>1</v>
      </c>
      <c r="E2536">
        <v>1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1</v>
      </c>
      <c r="N2536">
        <v>1</v>
      </c>
      <c r="O2536">
        <v>1</v>
      </c>
      <c r="P2536">
        <v>1</v>
      </c>
      <c r="Q2536">
        <v>1</v>
      </c>
      <c r="R2536">
        <v>1</v>
      </c>
      <c r="S2536">
        <v>1</v>
      </c>
    </row>
    <row r="2537" spans="1:19" x14ac:dyDescent="0.25">
      <c r="A2537" s="1">
        <v>0.76599056712962965</v>
      </c>
      <c r="B2537" s="145" t="s">
        <v>165</v>
      </c>
      <c r="C2537">
        <v>2536</v>
      </c>
      <c r="D2537">
        <v>1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1</v>
      </c>
      <c r="N2537">
        <v>1</v>
      </c>
      <c r="O2537">
        <v>1</v>
      </c>
      <c r="P2537">
        <v>1</v>
      </c>
      <c r="Q2537">
        <v>1</v>
      </c>
      <c r="R2537">
        <v>1</v>
      </c>
      <c r="S2537">
        <v>1</v>
      </c>
    </row>
    <row r="2538" spans="1:19" x14ac:dyDescent="0.25">
      <c r="A2538" s="1">
        <v>0.76599068287037042</v>
      </c>
      <c r="B2538" s="145" t="s">
        <v>165</v>
      </c>
      <c r="C2538">
        <v>2537</v>
      </c>
      <c r="D2538">
        <v>1</v>
      </c>
      <c r="E2538">
        <v>1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1</v>
      </c>
      <c r="O2538">
        <v>1</v>
      </c>
      <c r="P2538">
        <v>1</v>
      </c>
      <c r="Q2538">
        <v>1</v>
      </c>
      <c r="R2538">
        <v>1</v>
      </c>
      <c r="S2538">
        <v>1</v>
      </c>
    </row>
    <row r="2539" spans="1:19" x14ac:dyDescent="0.25">
      <c r="A2539" s="1">
        <v>0.76599079861111108</v>
      </c>
      <c r="B2539" s="145" t="s">
        <v>165</v>
      </c>
      <c r="C2539">
        <v>2538</v>
      </c>
      <c r="D2539">
        <v>1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1</v>
      </c>
      <c r="N2539">
        <v>1</v>
      </c>
      <c r="O2539">
        <v>1</v>
      </c>
      <c r="P2539">
        <v>1</v>
      </c>
      <c r="Q2539">
        <v>1</v>
      </c>
      <c r="R2539">
        <v>1</v>
      </c>
      <c r="S2539">
        <v>1</v>
      </c>
    </row>
    <row r="2540" spans="1:19" x14ac:dyDescent="0.25">
      <c r="A2540" s="1">
        <v>0.76599091435185185</v>
      </c>
      <c r="B2540" s="145" t="s">
        <v>2</v>
      </c>
      <c r="C2540">
        <v>2539</v>
      </c>
      <c r="D2540">
        <v>0</v>
      </c>
      <c r="E2540">
        <v>1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1</v>
      </c>
      <c r="O2540">
        <v>1</v>
      </c>
      <c r="P2540">
        <v>1</v>
      </c>
      <c r="Q2540">
        <v>1</v>
      </c>
      <c r="R2540">
        <v>1</v>
      </c>
      <c r="S2540">
        <v>1</v>
      </c>
    </row>
    <row r="2541" spans="1:19" x14ac:dyDescent="0.25">
      <c r="A2541" s="1">
        <v>0.76599103009259262</v>
      </c>
      <c r="B2541" s="145" t="s">
        <v>2</v>
      </c>
      <c r="C2541">
        <v>2540</v>
      </c>
      <c r="D2541">
        <v>0</v>
      </c>
      <c r="E2541">
        <v>1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1</v>
      </c>
      <c r="M2541">
        <v>1</v>
      </c>
      <c r="N2541">
        <v>1</v>
      </c>
      <c r="O2541">
        <v>1</v>
      </c>
      <c r="P2541">
        <v>1</v>
      </c>
      <c r="Q2541">
        <v>1</v>
      </c>
      <c r="R2541">
        <v>1</v>
      </c>
      <c r="S2541">
        <v>1</v>
      </c>
    </row>
    <row r="2542" spans="1:19" x14ac:dyDescent="0.25">
      <c r="A2542" s="1">
        <v>0.76599114583333339</v>
      </c>
      <c r="B2542" s="145" t="s">
        <v>165</v>
      </c>
      <c r="C2542">
        <v>2541</v>
      </c>
      <c r="D2542">
        <v>1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1</v>
      </c>
      <c r="M2542">
        <v>1</v>
      </c>
      <c r="N2542">
        <v>1</v>
      </c>
      <c r="O2542">
        <v>1</v>
      </c>
      <c r="P2542">
        <v>1</v>
      </c>
      <c r="Q2542">
        <v>1</v>
      </c>
      <c r="R2542">
        <v>1</v>
      </c>
      <c r="S2542">
        <v>1</v>
      </c>
    </row>
    <row r="2543" spans="1:19" x14ac:dyDescent="0.25">
      <c r="A2543" s="1">
        <v>0.76599126157407404</v>
      </c>
      <c r="B2543" s="145" t="s">
        <v>165</v>
      </c>
      <c r="C2543">
        <v>2542</v>
      </c>
      <c r="D2543">
        <v>1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1</v>
      </c>
      <c r="N2543">
        <v>1</v>
      </c>
      <c r="O2543">
        <v>1</v>
      </c>
      <c r="P2543">
        <v>1</v>
      </c>
      <c r="Q2543">
        <v>1</v>
      </c>
      <c r="R2543">
        <v>1</v>
      </c>
      <c r="S2543">
        <v>1</v>
      </c>
    </row>
    <row r="2544" spans="1:19" x14ac:dyDescent="0.25">
      <c r="A2544" s="1">
        <v>0.76599137731481481</v>
      </c>
      <c r="B2544" s="145" t="s">
        <v>165</v>
      </c>
      <c r="C2544">
        <v>2543</v>
      </c>
      <c r="D2544">
        <v>1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1</v>
      </c>
      <c r="N2544">
        <v>1</v>
      </c>
      <c r="O2544">
        <v>1</v>
      </c>
      <c r="P2544">
        <v>1</v>
      </c>
      <c r="Q2544">
        <v>1</v>
      </c>
      <c r="R2544">
        <v>1</v>
      </c>
      <c r="S2544">
        <v>1</v>
      </c>
    </row>
    <row r="2545" spans="1:19" x14ac:dyDescent="0.25">
      <c r="A2545" s="1">
        <v>0.76599149305555558</v>
      </c>
      <c r="B2545" s="145" t="s">
        <v>165</v>
      </c>
      <c r="C2545">
        <v>2544</v>
      </c>
      <c r="D2545">
        <v>1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1</v>
      </c>
      <c r="N2545">
        <v>1</v>
      </c>
      <c r="O2545">
        <v>1</v>
      </c>
      <c r="P2545">
        <v>1</v>
      </c>
      <c r="Q2545">
        <v>1</v>
      </c>
      <c r="R2545">
        <v>1</v>
      </c>
      <c r="S2545">
        <v>1</v>
      </c>
    </row>
    <row r="2546" spans="1:19" x14ac:dyDescent="0.25">
      <c r="A2546" s="1">
        <v>0.76599160879629624</v>
      </c>
      <c r="B2546" s="145" t="s">
        <v>2</v>
      </c>
      <c r="C2546">
        <v>2545</v>
      </c>
      <c r="D2546">
        <v>0</v>
      </c>
      <c r="E2546">
        <v>1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1</v>
      </c>
      <c r="M2546">
        <v>1</v>
      </c>
      <c r="N2546">
        <v>1</v>
      </c>
      <c r="O2546">
        <v>1</v>
      </c>
      <c r="P2546">
        <v>1</v>
      </c>
      <c r="Q2546">
        <v>1</v>
      </c>
      <c r="R2546">
        <v>1</v>
      </c>
      <c r="S2546">
        <v>1</v>
      </c>
    </row>
    <row r="2547" spans="1:19" x14ac:dyDescent="0.25">
      <c r="A2547" s="1">
        <v>0.76599184027777778</v>
      </c>
      <c r="B2547" s="145" t="s">
        <v>165</v>
      </c>
      <c r="C2547">
        <v>2546</v>
      </c>
      <c r="D2547">
        <v>1</v>
      </c>
      <c r="E2547">
        <v>1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1</v>
      </c>
      <c r="N2547">
        <v>1</v>
      </c>
      <c r="O2547">
        <v>1</v>
      </c>
      <c r="P2547">
        <v>1</v>
      </c>
      <c r="Q2547">
        <v>1</v>
      </c>
      <c r="R2547">
        <v>1</v>
      </c>
      <c r="S2547">
        <v>1</v>
      </c>
    </row>
    <row r="2548" spans="1:19" x14ac:dyDescent="0.25">
      <c r="A2548" s="1">
        <v>0.76599195601851855</v>
      </c>
      <c r="B2548" s="145" t="s">
        <v>165</v>
      </c>
      <c r="C2548">
        <v>2547</v>
      </c>
      <c r="D2548">
        <v>1</v>
      </c>
      <c r="E2548">
        <v>1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1</v>
      </c>
      <c r="M2548">
        <v>1</v>
      </c>
      <c r="N2548">
        <v>1</v>
      </c>
      <c r="O2548">
        <v>1</v>
      </c>
      <c r="P2548">
        <v>1</v>
      </c>
      <c r="Q2548">
        <v>1</v>
      </c>
      <c r="R2548">
        <v>1</v>
      </c>
      <c r="S2548">
        <v>1</v>
      </c>
    </row>
    <row r="2549" spans="1:19" x14ac:dyDescent="0.25">
      <c r="A2549" s="1">
        <v>0.76599207175925921</v>
      </c>
      <c r="B2549" s="145" t="s">
        <v>165</v>
      </c>
      <c r="C2549">
        <v>2548</v>
      </c>
      <c r="D2549">
        <v>1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1</v>
      </c>
      <c r="M2549">
        <v>1</v>
      </c>
      <c r="N2549">
        <v>1</v>
      </c>
      <c r="O2549">
        <v>1</v>
      </c>
      <c r="P2549">
        <v>1</v>
      </c>
      <c r="Q2549">
        <v>1</v>
      </c>
      <c r="R2549">
        <v>1</v>
      </c>
      <c r="S2549">
        <v>1</v>
      </c>
    </row>
    <row r="2550" spans="1:19" x14ac:dyDescent="0.25">
      <c r="A2550" s="1">
        <v>0.76599218749999998</v>
      </c>
      <c r="B2550" s="145" t="s">
        <v>165</v>
      </c>
      <c r="C2550">
        <v>2549</v>
      </c>
      <c r="D2550">
        <v>1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1</v>
      </c>
      <c r="N2550">
        <v>1</v>
      </c>
      <c r="O2550">
        <v>1</v>
      </c>
      <c r="P2550">
        <v>1</v>
      </c>
      <c r="Q2550">
        <v>1</v>
      </c>
      <c r="R2550">
        <v>1</v>
      </c>
      <c r="S2550">
        <v>1</v>
      </c>
    </row>
    <row r="2551" spans="1:19" x14ac:dyDescent="0.25">
      <c r="A2551" s="1">
        <v>0.76599230324074075</v>
      </c>
      <c r="B2551" s="145" t="s">
        <v>2</v>
      </c>
      <c r="C2551">
        <v>2550</v>
      </c>
      <c r="D2551">
        <v>0</v>
      </c>
      <c r="E2551">
        <v>1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1</v>
      </c>
      <c r="N2551">
        <v>1</v>
      </c>
      <c r="O2551">
        <v>1</v>
      </c>
      <c r="P2551">
        <v>1</v>
      </c>
      <c r="Q2551">
        <v>1</v>
      </c>
      <c r="R2551">
        <v>1</v>
      </c>
      <c r="S2551">
        <v>1</v>
      </c>
    </row>
    <row r="2552" spans="1:19" x14ac:dyDescent="0.25">
      <c r="A2552" s="1">
        <v>0.76599241898148152</v>
      </c>
      <c r="B2552" s="145" t="s">
        <v>2</v>
      </c>
      <c r="C2552">
        <v>2551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</row>
    <row r="2553" spans="1:19" x14ac:dyDescent="0.25">
      <c r="A2553" s="1">
        <v>0.76599253472222217</v>
      </c>
      <c r="B2553" s="145" t="s">
        <v>165</v>
      </c>
      <c r="C2553">
        <v>2552</v>
      </c>
      <c r="D2553">
        <v>1</v>
      </c>
      <c r="E2553">
        <v>1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1</v>
      </c>
      <c r="M2553">
        <v>1</v>
      </c>
      <c r="N2553">
        <v>1</v>
      </c>
      <c r="O2553">
        <v>1</v>
      </c>
      <c r="P2553">
        <v>1</v>
      </c>
      <c r="Q2553">
        <v>1</v>
      </c>
      <c r="R2553">
        <v>1</v>
      </c>
      <c r="S2553">
        <v>1</v>
      </c>
    </row>
    <row r="2554" spans="1:19" x14ac:dyDescent="0.25">
      <c r="A2554" s="1">
        <v>0.76599265046296294</v>
      </c>
      <c r="B2554" s="145" t="s">
        <v>165</v>
      </c>
      <c r="C2554">
        <v>2553</v>
      </c>
      <c r="D2554">
        <v>1</v>
      </c>
      <c r="E2554">
        <v>1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1</v>
      </c>
      <c r="O2554">
        <v>1</v>
      </c>
      <c r="P2554">
        <v>1</v>
      </c>
      <c r="Q2554">
        <v>1</v>
      </c>
      <c r="R2554">
        <v>1</v>
      </c>
      <c r="S2554">
        <v>1</v>
      </c>
    </row>
    <row r="2555" spans="1:19" x14ac:dyDescent="0.25">
      <c r="A2555" s="1">
        <v>0.76599276620370371</v>
      </c>
      <c r="B2555" s="145" t="s">
        <v>165</v>
      </c>
      <c r="C2555">
        <v>2554</v>
      </c>
      <c r="D2555">
        <v>1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1</v>
      </c>
      <c r="M2555">
        <v>1</v>
      </c>
      <c r="N2555">
        <v>1</v>
      </c>
      <c r="O2555">
        <v>1</v>
      </c>
      <c r="P2555">
        <v>1</v>
      </c>
      <c r="Q2555">
        <v>1</v>
      </c>
      <c r="R2555">
        <v>1</v>
      </c>
      <c r="S2555">
        <v>1</v>
      </c>
    </row>
    <row r="2556" spans="1:19" x14ac:dyDescent="0.25">
      <c r="A2556" s="1">
        <v>0.76599288194444448</v>
      </c>
      <c r="B2556" s="145" t="s">
        <v>165</v>
      </c>
      <c r="C2556">
        <v>2555</v>
      </c>
      <c r="D2556">
        <v>1</v>
      </c>
      <c r="E2556">
        <v>1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1</v>
      </c>
      <c r="N2556">
        <v>1</v>
      </c>
      <c r="O2556">
        <v>1</v>
      </c>
      <c r="P2556">
        <v>1</v>
      </c>
      <c r="Q2556">
        <v>1</v>
      </c>
      <c r="R2556">
        <v>1</v>
      </c>
      <c r="S2556">
        <v>1</v>
      </c>
    </row>
    <row r="2557" spans="1:19" x14ac:dyDescent="0.25">
      <c r="A2557" s="1">
        <v>0.76599299768518514</v>
      </c>
      <c r="B2557" s="145" t="s">
        <v>2</v>
      </c>
      <c r="C2557">
        <v>2556</v>
      </c>
      <c r="D2557">
        <v>0</v>
      </c>
      <c r="E2557">
        <v>1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1</v>
      </c>
      <c r="N2557">
        <v>1</v>
      </c>
      <c r="O2557">
        <v>1</v>
      </c>
      <c r="P2557">
        <v>1</v>
      </c>
      <c r="Q2557">
        <v>1</v>
      </c>
      <c r="R2557">
        <v>1</v>
      </c>
      <c r="S2557">
        <v>1</v>
      </c>
    </row>
    <row r="2558" spans="1:19" x14ac:dyDescent="0.25">
      <c r="A2558" s="1">
        <v>0.76599311342592591</v>
      </c>
      <c r="B2558" s="145" t="s">
        <v>2</v>
      </c>
      <c r="C2558">
        <v>2557</v>
      </c>
      <c r="D2558">
        <v>0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1</v>
      </c>
      <c r="N2558">
        <v>1</v>
      </c>
      <c r="O2558">
        <v>1</v>
      </c>
      <c r="P2558">
        <v>1</v>
      </c>
      <c r="Q2558">
        <v>1</v>
      </c>
      <c r="R2558">
        <v>1</v>
      </c>
      <c r="S2558">
        <v>1</v>
      </c>
    </row>
    <row r="2559" spans="1:19" x14ac:dyDescent="0.25">
      <c r="A2559" s="1">
        <v>0.76599324074074071</v>
      </c>
      <c r="B2559" s="145" t="s">
        <v>165</v>
      </c>
      <c r="C2559">
        <v>2558</v>
      </c>
      <c r="D2559">
        <v>1</v>
      </c>
      <c r="E2559">
        <v>1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1</v>
      </c>
      <c r="M2559">
        <v>1</v>
      </c>
      <c r="N2559">
        <v>1</v>
      </c>
      <c r="O2559">
        <v>1</v>
      </c>
      <c r="P2559">
        <v>1</v>
      </c>
      <c r="Q2559">
        <v>1</v>
      </c>
      <c r="R2559">
        <v>1</v>
      </c>
      <c r="S2559">
        <v>1</v>
      </c>
    </row>
    <row r="2560" spans="1:19" x14ac:dyDescent="0.25">
      <c r="A2560" s="1">
        <v>0.76599334490740745</v>
      </c>
      <c r="B2560" s="145" t="s">
        <v>165</v>
      </c>
      <c r="C2560">
        <v>2559</v>
      </c>
      <c r="D2560">
        <v>1</v>
      </c>
      <c r="E2560">
        <v>1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1</v>
      </c>
      <c r="M2560">
        <v>1</v>
      </c>
      <c r="N2560">
        <v>1</v>
      </c>
      <c r="O2560">
        <v>1</v>
      </c>
      <c r="P2560">
        <v>1</v>
      </c>
      <c r="Q2560">
        <v>1</v>
      </c>
      <c r="R2560">
        <v>1</v>
      </c>
      <c r="S2560">
        <v>1</v>
      </c>
    </row>
    <row r="2561" spans="1:19" x14ac:dyDescent="0.25">
      <c r="A2561" s="1">
        <v>0.76599346064814811</v>
      </c>
      <c r="B2561" s="145" t="s">
        <v>165</v>
      </c>
      <c r="C2561">
        <v>2560</v>
      </c>
      <c r="D2561">
        <v>1</v>
      </c>
      <c r="E2561">
        <v>1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1</v>
      </c>
      <c r="N2561">
        <v>1</v>
      </c>
      <c r="O2561">
        <v>1</v>
      </c>
      <c r="P2561">
        <v>1</v>
      </c>
      <c r="Q2561">
        <v>1</v>
      </c>
      <c r="R2561">
        <v>1</v>
      </c>
      <c r="S2561">
        <v>1</v>
      </c>
    </row>
    <row r="2562" spans="1:19" x14ac:dyDescent="0.25">
      <c r="A2562" s="1">
        <v>0.76599357638888887</v>
      </c>
      <c r="B2562" s="145" t="s">
        <v>165</v>
      </c>
      <c r="C2562">
        <v>2561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1</v>
      </c>
      <c r="M2562">
        <v>1</v>
      </c>
      <c r="N2562">
        <v>1</v>
      </c>
      <c r="O2562">
        <v>1</v>
      </c>
      <c r="P2562">
        <v>1</v>
      </c>
      <c r="Q2562">
        <v>1</v>
      </c>
      <c r="R2562">
        <v>1</v>
      </c>
      <c r="S2562">
        <v>1</v>
      </c>
    </row>
    <row r="2563" spans="1:19" x14ac:dyDescent="0.25">
      <c r="A2563" s="1">
        <v>0.76599369212962964</v>
      </c>
      <c r="B2563" s="145" t="s">
        <v>2</v>
      </c>
      <c r="C2563">
        <v>2562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1</v>
      </c>
      <c r="O2563">
        <v>1</v>
      </c>
      <c r="P2563">
        <v>1</v>
      </c>
      <c r="Q2563">
        <v>1</v>
      </c>
      <c r="R2563">
        <v>1</v>
      </c>
      <c r="S2563">
        <v>1</v>
      </c>
    </row>
    <row r="2564" spans="1:19" x14ac:dyDescent="0.25">
      <c r="A2564" s="1">
        <v>0.76599380787037041</v>
      </c>
      <c r="B2564" s="145" t="s">
        <v>2</v>
      </c>
      <c r="C2564">
        <v>2563</v>
      </c>
      <c r="D2564">
        <v>0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1</v>
      </c>
      <c r="M2564">
        <v>1</v>
      </c>
      <c r="N2564">
        <v>1</v>
      </c>
      <c r="O2564">
        <v>1</v>
      </c>
      <c r="P2564">
        <v>1</v>
      </c>
      <c r="Q2564">
        <v>1</v>
      </c>
      <c r="R2564">
        <v>1</v>
      </c>
      <c r="S2564">
        <v>1</v>
      </c>
    </row>
    <row r="2565" spans="1:19" x14ac:dyDescent="0.25">
      <c r="A2565" s="1">
        <v>0.76599392361111107</v>
      </c>
      <c r="B2565" s="145" t="s">
        <v>165</v>
      </c>
      <c r="C2565">
        <v>2564</v>
      </c>
      <c r="D2565">
        <v>1</v>
      </c>
      <c r="E2565">
        <v>1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1</v>
      </c>
      <c r="M2565">
        <v>1</v>
      </c>
      <c r="N2565">
        <v>1</v>
      </c>
      <c r="O2565">
        <v>1</v>
      </c>
      <c r="P2565">
        <v>1</v>
      </c>
      <c r="Q2565">
        <v>1</v>
      </c>
      <c r="R2565">
        <v>1</v>
      </c>
      <c r="S2565">
        <v>1</v>
      </c>
    </row>
    <row r="2566" spans="1:19" x14ac:dyDescent="0.25">
      <c r="A2566" s="1">
        <v>0.76599403935185184</v>
      </c>
      <c r="B2566" s="145" t="s">
        <v>165</v>
      </c>
      <c r="C2566">
        <v>2565</v>
      </c>
      <c r="D2566">
        <v>1</v>
      </c>
      <c r="E2566">
        <v>1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1</v>
      </c>
      <c r="N2566">
        <v>1</v>
      </c>
      <c r="O2566">
        <v>1</v>
      </c>
      <c r="P2566">
        <v>1</v>
      </c>
      <c r="Q2566">
        <v>1</v>
      </c>
      <c r="R2566">
        <v>1</v>
      </c>
      <c r="S2566">
        <v>1</v>
      </c>
    </row>
    <row r="2567" spans="1:19" x14ac:dyDescent="0.25">
      <c r="A2567" s="1">
        <v>0.76599415509259261</v>
      </c>
      <c r="B2567" s="145" t="s">
        <v>165</v>
      </c>
      <c r="C2567">
        <v>2566</v>
      </c>
      <c r="D2567">
        <v>1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1</v>
      </c>
      <c r="M2567">
        <v>1</v>
      </c>
      <c r="N2567">
        <v>1</v>
      </c>
      <c r="O2567">
        <v>1</v>
      </c>
      <c r="P2567">
        <v>1</v>
      </c>
      <c r="Q2567">
        <v>1</v>
      </c>
      <c r="R2567">
        <v>1</v>
      </c>
      <c r="S2567">
        <v>1</v>
      </c>
    </row>
    <row r="2568" spans="1:19" x14ac:dyDescent="0.25">
      <c r="A2568" s="1">
        <v>0.76599427083333338</v>
      </c>
      <c r="B2568" s="145" t="s">
        <v>165</v>
      </c>
      <c r="C2568">
        <v>2567</v>
      </c>
      <c r="D2568">
        <v>1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1</v>
      </c>
      <c r="M2568">
        <v>1</v>
      </c>
      <c r="N2568">
        <v>1</v>
      </c>
      <c r="O2568">
        <v>1</v>
      </c>
      <c r="P2568">
        <v>1</v>
      </c>
      <c r="Q2568">
        <v>1</v>
      </c>
      <c r="R2568">
        <v>1</v>
      </c>
      <c r="S2568">
        <v>1</v>
      </c>
    </row>
    <row r="2569" spans="1:19" x14ac:dyDescent="0.25">
      <c r="A2569" s="1">
        <v>0.76599438657407404</v>
      </c>
      <c r="B2569" s="145" t="s">
        <v>2</v>
      </c>
      <c r="C2569">
        <v>2568</v>
      </c>
      <c r="D2569">
        <v>0</v>
      </c>
      <c r="E2569">
        <v>1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1</v>
      </c>
      <c r="M2569">
        <v>1</v>
      </c>
      <c r="N2569">
        <v>1</v>
      </c>
      <c r="O2569">
        <v>1</v>
      </c>
      <c r="P2569">
        <v>1</v>
      </c>
      <c r="Q2569">
        <v>1</v>
      </c>
      <c r="R2569">
        <v>1</v>
      </c>
      <c r="S2569">
        <v>1</v>
      </c>
    </row>
    <row r="2570" spans="1:19" x14ac:dyDescent="0.25">
      <c r="A2570" s="1">
        <v>0.76599450231481481</v>
      </c>
      <c r="B2570" s="145" t="s">
        <v>2</v>
      </c>
      <c r="C2570">
        <v>2569</v>
      </c>
      <c r="D2570">
        <v>0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1</v>
      </c>
      <c r="M2570">
        <v>1</v>
      </c>
      <c r="N2570">
        <v>1</v>
      </c>
      <c r="O2570">
        <v>1</v>
      </c>
      <c r="P2570">
        <v>1</v>
      </c>
      <c r="Q2570">
        <v>1</v>
      </c>
      <c r="R2570">
        <v>1</v>
      </c>
      <c r="S2570">
        <v>1</v>
      </c>
    </row>
    <row r="2571" spans="1:19" x14ac:dyDescent="0.25">
      <c r="A2571" s="1">
        <v>0.76599461805555558</v>
      </c>
      <c r="B2571" s="145" t="s">
        <v>165</v>
      </c>
      <c r="C2571">
        <v>2570</v>
      </c>
      <c r="D2571">
        <v>1</v>
      </c>
      <c r="E2571">
        <v>1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1</v>
      </c>
      <c r="O2571">
        <v>1</v>
      </c>
      <c r="P2571">
        <v>1</v>
      </c>
      <c r="Q2571">
        <v>1</v>
      </c>
      <c r="R2571">
        <v>1</v>
      </c>
      <c r="S2571">
        <v>1</v>
      </c>
    </row>
    <row r="2572" spans="1:19" x14ac:dyDescent="0.25">
      <c r="A2572" s="1">
        <v>0.76599473379629635</v>
      </c>
      <c r="B2572" s="145" t="s">
        <v>165</v>
      </c>
      <c r="C2572">
        <v>2571</v>
      </c>
      <c r="D2572">
        <v>1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1</v>
      </c>
      <c r="M2572">
        <v>1</v>
      </c>
      <c r="N2572">
        <v>1</v>
      </c>
      <c r="O2572">
        <v>1</v>
      </c>
      <c r="P2572">
        <v>1</v>
      </c>
      <c r="Q2572">
        <v>1</v>
      </c>
      <c r="R2572">
        <v>1</v>
      </c>
      <c r="S2572">
        <v>1</v>
      </c>
    </row>
    <row r="2573" spans="1:19" x14ac:dyDescent="0.25">
      <c r="A2573" s="1">
        <v>0.765994849537037</v>
      </c>
      <c r="B2573" s="145" t="s">
        <v>165</v>
      </c>
      <c r="C2573">
        <v>2572</v>
      </c>
      <c r="D2573">
        <v>1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1</v>
      </c>
      <c r="N2573">
        <v>1</v>
      </c>
      <c r="O2573">
        <v>1</v>
      </c>
      <c r="P2573">
        <v>1</v>
      </c>
      <c r="Q2573">
        <v>1</v>
      </c>
      <c r="R2573">
        <v>1</v>
      </c>
      <c r="S2573">
        <v>1</v>
      </c>
    </row>
    <row r="2574" spans="1:19" x14ac:dyDescent="0.25">
      <c r="A2574" s="1">
        <v>0.76599496527777777</v>
      </c>
      <c r="B2574" s="145" t="s">
        <v>165</v>
      </c>
      <c r="C2574">
        <v>2573</v>
      </c>
      <c r="D2574">
        <v>1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1</v>
      </c>
      <c r="O2574">
        <v>1</v>
      </c>
      <c r="P2574">
        <v>1</v>
      </c>
      <c r="Q2574">
        <v>1</v>
      </c>
      <c r="R2574">
        <v>1</v>
      </c>
      <c r="S2574">
        <v>1</v>
      </c>
    </row>
    <row r="2575" spans="1:19" x14ac:dyDescent="0.25">
      <c r="A2575" s="1">
        <v>0.76599508101851854</v>
      </c>
      <c r="B2575" s="145" t="s">
        <v>2</v>
      </c>
      <c r="C2575">
        <v>2574</v>
      </c>
      <c r="D2575">
        <v>0</v>
      </c>
      <c r="E2575">
        <v>1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1</v>
      </c>
      <c r="M2575">
        <v>1</v>
      </c>
      <c r="N2575">
        <v>1</v>
      </c>
      <c r="O2575">
        <v>1</v>
      </c>
      <c r="P2575">
        <v>1</v>
      </c>
      <c r="Q2575">
        <v>1</v>
      </c>
      <c r="R2575">
        <v>1</v>
      </c>
      <c r="S2575">
        <v>1</v>
      </c>
    </row>
    <row r="2576" spans="1:19" x14ac:dyDescent="0.25">
      <c r="A2576" s="1">
        <v>0.76599519675925931</v>
      </c>
      <c r="B2576" s="145" t="s">
        <v>2</v>
      </c>
      <c r="C2576">
        <v>2575</v>
      </c>
      <c r="D2576">
        <v>0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1</v>
      </c>
      <c r="N2576">
        <v>1</v>
      </c>
      <c r="O2576">
        <v>1</v>
      </c>
      <c r="P2576">
        <v>1</v>
      </c>
      <c r="Q2576">
        <v>1</v>
      </c>
      <c r="R2576">
        <v>1</v>
      </c>
      <c r="S2576">
        <v>1</v>
      </c>
    </row>
    <row r="2577" spans="1:19" x14ac:dyDescent="0.25">
      <c r="A2577" s="1">
        <v>0.76599531249999997</v>
      </c>
      <c r="B2577" s="145" t="s">
        <v>165</v>
      </c>
      <c r="C2577">
        <v>2576</v>
      </c>
      <c r="D2577">
        <v>1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1</v>
      </c>
      <c r="M2577">
        <v>1</v>
      </c>
      <c r="N2577">
        <v>1</v>
      </c>
      <c r="O2577">
        <v>1</v>
      </c>
      <c r="P2577">
        <v>1</v>
      </c>
      <c r="Q2577">
        <v>1</v>
      </c>
      <c r="R2577">
        <v>1</v>
      </c>
      <c r="S2577">
        <v>1</v>
      </c>
    </row>
    <row r="2578" spans="1:19" x14ac:dyDescent="0.25">
      <c r="A2578" s="1">
        <v>0.76599542824074074</v>
      </c>
      <c r="B2578" s="145" t="s">
        <v>165</v>
      </c>
      <c r="C2578">
        <v>2577</v>
      </c>
      <c r="D2578">
        <v>1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1</v>
      </c>
      <c r="N2578">
        <v>1</v>
      </c>
      <c r="O2578">
        <v>1</v>
      </c>
      <c r="P2578">
        <v>1</v>
      </c>
      <c r="Q2578">
        <v>1</v>
      </c>
      <c r="R2578">
        <v>1</v>
      </c>
      <c r="S2578">
        <v>1</v>
      </c>
    </row>
    <row r="2579" spans="1:19" x14ac:dyDescent="0.25">
      <c r="A2579" s="1">
        <v>0.76599554398148151</v>
      </c>
      <c r="B2579" s="145" t="s">
        <v>165</v>
      </c>
      <c r="C2579">
        <v>2578</v>
      </c>
      <c r="D2579">
        <v>1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1</v>
      </c>
      <c r="N2579">
        <v>1</v>
      </c>
      <c r="O2579">
        <v>1</v>
      </c>
      <c r="P2579">
        <v>1</v>
      </c>
      <c r="Q2579">
        <v>1</v>
      </c>
      <c r="R2579">
        <v>1</v>
      </c>
      <c r="S2579">
        <v>1</v>
      </c>
    </row>
    <row r="2580" spans="1:19" x14ac:dyDescent="0.25">
      <c r="A2580" s="1">
        <v>0.76599565972222228</v>
      </c>
      <c r="B2580" s="145" t="s">
        <v>165</v>
      </c>
      <c r="C2580">
        <v>2579</v>
      </c>
      <c r="D2580">
        <v>1</v>
      </c>
      <c r="E2580">
        <v>1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1</v>
      </c>
      <c r="N2580">
        <v>1</v>
      </c>
      <c r="O2580">
        <v>1</v>
      </c>
      <c r="P2580">
        <v>1</v>
      </c>
      <c r="Q2580">
        <v>1</v>
      </c>
      <c r="R2580">
        <v>1</v>
      </c>
      <c r="S2580">
        <v>1</v>
      </c>
    </row>
    <row r="2581" spans="1:19" x14ac:dyDescent="0.25">
      <c r="A2581" s="1">
        <v>0.76599577546296294</v>
      </c>
      <c r="B2581" s="145" t="s">
        <v>2</v>
      </c>
      <c r="C2581">
        <v>2580</v>
      </c>
      <c r="D2581">
        <v>0</v>
      </c>
      <c r="E2581">
        <v>1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1</v>
      </c>
      <c r="M2581">
        <v>1</v>
      </c>
      <c r="N2581">
        <v>1</v>
      </c>
      <c r="O2581">
        <v>1</v>
      </c>
      <c r="P2581">
        <v>1</v>
      </c>
      <c r="Q2581">
        <v>1</v>
      </c>
      <c r="R2581">
        <v>1</v>
      </c>
      <c r="S2581">
        <v>1</v>
      </c>
    </row>
    <row r="2582" spans="1:19" x14ac:dyDescent="0.25">
      <c r="A2582" s="1">
        <v>0.76599587962962967</v>
      </c>
      <c r="B2582" s="145" t="s">
        <v>2</v>
      </c>
      <c r="C2582">
        <v>2581</v>
      </c>
      <c r="D2582">
        <v>0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1</v>
      </c>
      <c r="N2582">
        <v>1</v>
      </c>
      <c r="O2582">
        <v>1</v>
      </c>
      <c r="P2582">
        <v>1</v>
      </c>
      <c r="Q2582">
        <v>1</v>
      </c>
      <c r="R2582">
        <v>1</v>
      </c>
      <c r="S2582">
        <v>1</v>
      </c>
    </row>
    <row r="2583" spans="1:19" x14ac:dyDescent="0.25">
      <c r="A2583" s="1">
        <v>0.76599599537037033</v>
      </c>
      <c r="B2583" s="145" t="s">
        <v>165</v>
      </c>
      <c r="C2583">
        <v>2582</v>
      </c>
      <c r="D2583">
        <v>1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1</v>
      </c>
      <c r="N2583">
        <v>1</v>
      </c>
      <c r="O2583">
        <v>1</v>
      </c>
      <c r="P2583">
        <v>1</v>
      </c>
      <c r="Q2583">
        <v>1</v>
      </c>
      <c r="R2583">
        <v>1</v>
      </c>
      <c r="S2583">
        <v>1</v>
      </c>
    </row>
    <row r="2584" spans="1:19" x14ac:dyDescent="0.25">
      <c r="A2584" s="1">
        <v>0.7659961111111111</v>
      </c>
      <c r="B2584" s="145" t="s">
        <v>165</v>
      </c>
      <c r="C2584">
        <v>2583</v>
      </c>
      <c r="D2584">
        <v>1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1</v>
      </c>
      <c r="M2584">
        <v>1</v>
      </c>
      <c r="N2584">
        <v>1</v>
      </c>
      <c r="O2584">
        <v>1</v>
      </c>
      <c r="P2584">
        <v>1</v>
      </c>
      <c r="Q2584">
        <v>1</v>
      </c>
      <c r="R2584">
        <v>1</v>
      </c>
      <c r="S2584">
        <v>1</v>
      </c>
    </row>
    <row r="2585" spans="1:19" x14ac:dyDescent="0.25">
      <c r="A2585" s="1">
        <v>0.76599622685185187</v>
      </c>
      <c r="B2585" s="145" t="s">
        <v>165</v>
      </c>
      <c r="C2585">
        <v>2584</v>
      </c>
      <c r="D2585">
        <v>1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1</v>
      </c>
      <c r="M2585">
        <v>1</v>
      </c>
      <c r="N2585">
        <v>1</v>
      </c>
      <c r="O2585">
        <v>1</v>
      </c>
      <c r="P2585">
        <v>1</v>
      </c>
      <c r="Q2585">
        <v>1</v>
      </c>
      <c r="R2585">
        <v>1</v>
      </c>
      <c r="S2585">
        <v>1</v>
      </c>
    </row>
    <row r="2586" spans="1:19" x14ac:dyDescent="0.25">
      <c r="A2586" s="1">
        <v>0.76599634259259264</v>
      </c>
      <c r="B2586" s="145" t="s">
        <v>165</v>
      </c>
      <c r="C2586">
        <v>2585</v>
      </c>
      <c r="D2586">
        <v>1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1</v>
      </c>
      <c r="N2586">
        <v>1</v>
      </c>
      <c r="O2586">
        <v>1</v>
      </c>
      <c r="P2586">
        <v>1</v>
      </c>
      <c r="Q2586">
        <v>1</v>
      </c>
      <c r="R2586">
        <v>1</v>
      </c>
      <c r="S2586">
        <v>1</v>
      </c>
    </row>
    <row r="2587" spans="1:19" x14ac:dyDescent="0.25">
      <c r="A2587" s="1">
        <v>0.7659964583333333</v>
      </c>
      <c r="B2587" s="145" t="s">
        <v>2</v>
      </c>
      <c r="C2587">
        <v>2586</v>
      </c>
      <c r="D2587">
        <v>0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1</v>
      </c>
      <c r="N2587">
        <v>1</v>
      </c>
      <c r="O2587">
        <v>1</v>
      </c>
      <c r="P2587">
        <v>1</v>
      </c>
      <c r="Q2587">
        <v>1</v>
      </c>
      <c r="R2587">
        <v>1</v>
      </c>
      <c r="S2587">
        <v>1</v>
      </c>
    </row>
    <row r="2588" spans="1:19" x14ac:dyDescent="0.25">
      <c r="A2588" s="1">
        <v>0.76599657407407407</v>
      </c>
      <c r="B2588" s="145" t="s">
        <v>2</v>
      </c>
      <c r="C2588">
        <v>2587</v>
      </c>
      <c r="D2588">
        <v>0</v>
      </c>
      <c r="E2588">
        <v>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1</v>
      </c>
      <c r="N2588">
        <v>1</v>
      </c>
      <c r="O2588">
        <v>1</v>
      </c>
      <c r="P2588">
        <v>1</v>
      </c>
      <c r="Q2588">
        <v>1</v>
      </c>
      <c r="R2588">
        <v>1</v>
      </c>
      <c r="S2588">
        <v>1</v>
      </c>
    </row>
    <row r="2589" spans="1:19" x14ac:dyDescent="0.25">
      <c r="A2589" s="1">
        <v>0.76599668981481484</v>
      </c>
      <c r="B2589" s="145" t="s">
        <v>165</v>
      </c>
      <c r="C2589">
        <v>2588</v>
      </c>
      <c r="D2589">
        <v>1</v>
      </c>
      <c r="E2589">
        <v>1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1</v>
      </c>
      <c r="O2589">
        <v>1</v>
      </c>
      <c r="P2589">
        <v>1</v>
      </c>
      <c r="Q2589">
        <v>1</v>
      </c>
      <c r="R2589">
        <v>1</v>
      </c>
      <c r="S2589">
        <v>1</v>
      </c>
    </row>
    <row r="2590" spans="1:19" x14ac:dyDescent="0.25">
      <c r="A2590" s="1">
        <v>0.7659968055555556</v>
      </c>
      <c r="B2590" s="145" t="s">
        <v>165</v>
      </c>
      <c r="C2590">
        <v>2589</v>
      </c>
      <c r="D2590">
        <v>1</v>
      </c>
      <c r="E2590">
        <v>1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1</v>
      </c>
      <c r="N2590">
        <v>1</v>
      </c>
      <c r="O2590">
        <v>1</v>
      </c>
      <c r="P2590">
        <v>1</v>
      </c>
      <c r="Q2590">
        <v>1</v>
      </c>
      <c r="R2590">
        <v>1</v>
      </c>
      <c r="S2590">
        <v>1</v>
      </c>
    </row>
    <row r="2591" spans="1:19" x14ac:dyDescent="0.25">
      <c r="A2591" s="1">
        <v>0.76599692129629626</v>
      </c>
      <c r="B2591" s="145" t="s">
        <v>165</v>
      </c>
      <c r="C2591">
        <v>2590</v>
      </c>
      <c r="D2591">
        <v>1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1</v>
      </c>
      <c r="N2591">
        <v>1</v>
      </c>
      <c r="O2591">
        <v>1</v>
      </c>
      <c r="P2591">
        <v>1</v>
      </c>
      <c r="Q2591">
        <v>1</v>
      </c>
      <c r="R2591">
        <v>1</v>
      </c>
      <c r="S2591">
        <v>1</v>
      </c>
    </row>
    <row r="2592" spans="1:19" x14ac:dyDescent="0.25">
      <c r="A2592" s="1">
        <v>0.76599703703703703</v>
      </c>
      <c r="B2592" s="145" t="s">
        <v>165</v>
      </c>
      <c r="C2592">
        <v>2591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1</v>
      </c>
      <c r="M2592">
        <v>1</v>
      </c>
      <c r="N2592">
        <v>1</v>
      </c>
      <c r="O2592">
        <v>1</v>
      </c>
      <c r="P2592">
        <v>1</v>
      </c>
      <c r="Q2592">
        <v>1</v>
      </c>
      <c r="R2592">
        <v>1</v>
      </c>
      <c r="S2592">
        <v>1</v>
      </c>
    </row>
    <row r="2593" spans="1:19" x14ac:dyDescent="0.25">
      <c r="A2593" s="1">
        <v>0.7659971527777778</v>
      </c>
      <c r="B2593" s="145" t="s">
        <v>2</v>
      </c>
      <c r="C2593">
        <v>2592</v>
      </c>
      <c r="D2593">
        <v>0</v>
      </c>
      <c r="E2593">
        <v>1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1</v>
      </c>
      <c r="N2593">
        <v>1</v>
      </c>
      <c r="O2593">
        <v>1</v>
      </c>
      <c r="P2593">
        <v>1</v>
      </c>
      <c r="Q2593">
        <v>1</v>
      </c>
      <c r="R2593">
        <v>1</v>
      </c>
      <c r="S2593">
        <v>1</v>
      </c>
    </row>
    <row r="2594" spans="1:19" x14ac:dyDescent="0.25">
      <c r="A2594" s="1">
        <v>0.76599726851851857</v>
      </c>
      <c r="B2594" s="145" t="s">
        <v>2</v>
      </c>
      <c r="C2594">
        <v>2593</v>
      </c>
      <c r="D2594">
        <v>0</v>
      </c>
      <c r="E2594">
        <v>1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1</v>
      </c>
      <c r="M2594">
        <v>1</v>
      </c>
      <c r="N2594">
        <v>1</v>
      </c>
      <c r="O2594">
        <v>1</v>
      </c>
      <c r="P2594">
        <v>1</v>
      </c>
      <c r="Q2594">
        <v>1</v>
      </c>
      <c r="R2594">
        <v>1</v>
      </c>
      <c r="S2594">
        <v>1</v>
      </c>
    </row>
    <row r="2595" spans="1:19" x14ac:dyDescent="0.25">
      <c r="A2595" s="1">
        <v>0.76599738425925923</v>
      </c>
      <c r="B2595" s="145" t="s">
        <v>165</v>
      </c>
      <c r="C2595">
        <v>2594</v>
      </c>
      <c r="D2595">
        <v>1</v>
      </c>
      <c r="E2595">
        <v>1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1</v>
      </c>
      <c r="N2595">
        <v>1</v>
      </c>
      <c r="O2595">
        <v>1</v>
      </c>
      <c r="P2595">
        <v>1</v>
      </c>
      <c r="Q2595">
        <v>1</v>
      </c>
      <c r="R2595">
        <v>1</v>
      </c>
      <c r="S2595">
        <v>1</v>
      </c>
    </row>
    <row r="2596" spans="1:19" x14ac:dyDescent="0.25">
      <c r="A2596" s="1">
        <v>0.7659975</v>
      </c>
      <c r="B2596" s="145" t="s">
        <v>165</v>
      </c>
      <c r="C2596">
        <v>2595</v>
      </c>
      <c r="D2596">
        <v>1</v>
      </c>
      <c r="E2596">
        <v>1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1</v>
      </c>
      <c r="N2596">
        <v>1</v>
      </c>
      <c r="O2596">
        <v>1</v>
      </c>
      <c r="P2596">
        <v>1</v>
      </c>
      <c r="Q2596">
        <v>1</v>
      </c>
      <c r="R2596">
        <v>1</v>
      </c>
      <c r="S2596">
        <v>1</v>
      </c>
    </row>
    <row r="2597" spans="1:19" x14ac:dyDescent="0.25">
      <c r="A2597" s="1">
        <v>0.76599761574074077</v>
      </c>
      <c r="B2597" s="145" t="s">
        <v>165</v>
      </c>
      <c r="C2597">
        <v>2596</v>
      </c>
      <c r="D2597">
        <v>1</v>
      </c>
      <c r="E2597">
        <v>1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1</v>
      </c>
      <c r="M2597">
        <v>1</v>
      </c>
      <c r="N2597">
        <v>1</v>
      </c>
      <c r="O2597">
        <v>1</v>
      </c>
      <c r="P2597">
        <v>1</v>
      </c>
      <c r="Q2597">
        <v>1</v>
      </c>
      <c r="R2597">
        <v>1</v>
      </c>
      <c r="S2597">
        <v>1</v>
      </c>
    </row>
    <row r="2598" spans="1:19" x14ac:dyDescent="0.25">
      <c r="A2598" s="1">
        <v>0.76599773148148154</v>
      </c>
      <c r="B2598" s="145" t="s">
        <v>165</v>
      </c>
      <c r="C2598">
        <v>2597</v>
      </c>
      <c r="D2598">
        <v>1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1</v>
      </c>
      <c r="N2598">
        <v>1</v>
      </c>
      <c r="O2598">
        <v>1</v>
      </c>
      <c r="P2598">
        <v>1</v>
      </c>
      <c r="Q2598">
        <v>1</v>
      </c>
      <c r="R2598">
        <v>1</v>
      </c>
      <c r="S2598">
        <v>1</v>
      </c>
    </row>
    <row r="2599" spans="1:19" x14ac:dyDescent="0.25">
      <c r="A2599" s="1">
        <v>0.76599784722222219</v>
      </c>
      <c r="B2599" s="145" t="s">
        <v>2</v>
      </c>
      <c r="C2599">
        <v>2598</v>
      </c>
      <c r="D2599">
        <v>0</v>
      </c>
      <c r="E2599">
        <v>1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1</v>
      </c>
      <c r="N2599">
        <v>1</v>
      </c>
      <c r="O2599">
        <v>1</v>
      </c>
      <c r="P2599">
        <v>1</v>
      </c>
      <c r="Q2599">
        <v>1</v>
      </c>
      <c r="R2599">
        <v>1</v>
      </c>
      <c r="S2599">
        <v>1</v>
      </c>
    </row>
    <row r="2600" spans="1:19" x14ac:dyDescent="0.25">
      <c r="A2600" s="1">
        <v>0.76599796296296296</v>
      </c>
      <c r="B2600" s="145" t="s">
        <v>2</v>
      </c>
      <c r="C2600">
        <v>2599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1</v>
      </c>
      <c r="M2600">
        <v>1</v>
      </c>
      <c r="N2600">
        <v>1</v>
      </c>
      <c r="O2600">
        <v>1</v>
      </c>
      <c r="P2600">
        <v>1</v>
      </c>
      <c r="Q2600">
        <v>1</v>
      </c>
      <c r="R2600">
        <v>1</v>
      </c>
      <c r="S2600">
        <v>1</v>
      </c>
    </row>
    <row r="2601" spans="1:19" x14ac:dyDescent="0.25">
      <c r="A2601" s="1">
        <v>0.76599807870370373</v>
      </c>
      <c r="B2601" s="145" t="s">
        <v>165</v>
      </c>
      <c r="C2601">
        <v>2600</v>
      </c>
      <c r="D2601">
        <v>1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1</v>
      </c>
      <c r="N2601">
        <v>1</v>
      </c>
      <c r="O2601">
        <v>1</v>
      </c>
      <c r="P2601">
        <v>1</v>
      </c>
      <c r="Q2601">
        <v>1</v>
      </c>
      <c r="R2601">
        <v>1</v>
      </c>
      <c r="S2601">
        <v>1</v>
      </c>
    </row>
    <row r="2602" spans="1:19" x14ac:dyDescent="0.25">
      <c r="A2602" s="1">
        <v>0.76599819444444439</v>
      </c>
      <c r="B2602" s="145" t="s">
        <v>165</v>
      </c>
      <c r="C2602">
        <v>2601</v>
      </c>
      <c r="D2602">
        <v>1</v>
      </c>
      <c r="E2602">
        <v>1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1</v>
      </c>
      <c r="M2602">
        <v>1</v>
      </c>
      <c r="N2602">
        <v>1</v>
      </c>
      <c r="O2602">
        <v>1</v>
      </c>
      <c r="P2602">
        <v>1</v>
      </c>
      <c r="Q2602">
        <v>1</v>
      </c>
      <c r="R2602">
        <v>1</v>
      </c>
      <c r="S2602">
        <v>1</v>
      </c>
    </row>
    <row r="2603" spans="1:19" x14ac:dyDescent="0.25">
      <c r="A2603" s="1">
        <v>0.76599831018518516</v>
      </c>
      <c r="B2603" s="145" t="s">
        <v>165</v>
      </c>
      <c r="C2603">
        <v>2602</v>
      </c>
      <c r="D2603">
        <v>1</v>
      </c>
      <c r="E2603">
        <v>1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1</v>
      </c>
      <c r="M2603">
        <v>1</v>
      </c>
      <c r="N2603">
        <v>1</v>
      </c>
      <c r="O2603">
        <v>1</v>
      </c>
      <c r="P2603">
        <v>1</v>
      </c>
      <c r="Q2603">
        <v>1</v>
      </c>
      <c r="R2603">
        <v>1</v>
      </c>
      <c r="S2603">
        <v>1</v>
      </c>
    </row>
    <row r="2604" spans="1:19" x14ac:dyDescent="0.25">
      <c r="A2604" s="1">
        <v>0.76599842592592593</v>
      </c>
      <c r="B2604" s="145" t="s">
        <v>165</v>
      </c>
      <c r="C2604">
        <v>2603</v>
      </c>
      <c r="D2604">
        <v>1</v>
      </c>
      <c r="E2604">
        <v>1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1</v>
      </c>
      <c r="O2604">
        <v>1</v>
      </c>
      <c r="P2604">
        <v>1</v>
      </c>
      <c r="Q2604">
        <v>1</v>
      </c>
      <c r="R2604">
        <v>1</v>
      </c>
      <c r="S2604">
        <v>1</v>
      </c>
    </row>
    <row r="2605" spans="1:19" x14ac:dyDescent="0.25">
      <c r="A2605" s="1">
        <v>0.7659985416666667</v>
      </c>
      <c r="B2605" s="145" t="s">
        <v>2</v>
      </c>
      <c r="C2605">
        <v>2604</v>
      </c>
      <c r="D2605">
        <v>0</v>
      </c>
      <c r="E2605">
        <v>1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1</v>
      </c>
      <c r="N2605">
        <v>1</v>
      </c>
      <c r="O2605">
        <v>1</v>
      </c>
      <c r="P2605">
        <v>1</v>
      </c>
      <c r="Q2605">
        <v>1</v>
      </c>
      <c r="R2605">
        <v>1</v>
      </c>
      <c r="S2605">
        <v>1</v>
      </c>
    </row>
    <row r="2606" spans="1:19" x14ac:dyDescent="0.25">
      <c r="A2606" s="1">
        <v>0.76599865740740736</v>
      </c>
      <c r="B2606" s="145" t="s">
        <v>2</v>
      </c>
      <c r="C2606">
        <v>2605</v>
      </c>
      <c r="D2606">
        <v>0</v>
      </c>
      <c r="E2606">
        <v>1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1</v>
      </c>
      <c r="N2606">
        <v>1</v>
      </c>
      <c r="O2606">
        <v>1</v>
      </c>
      <c r="P2606">
        <v>1</v>
      </c>
      <c r="Q2606">
        <v>1</v>
      </c>
      <c r="R2606">
        <v>1</v>
      </c>
      <c r="S2606">
        <v>1</v>
      </c>
    </row>
    <row r="2607" spans="1:19" x14ac:dyDescent="0.25">
      <c r="A2607" s="1">
        <v>0.76599877314814813</v>
      </c>
      <c r="B2607" s="145" t="s">
        <v>165</v>
      </c>
      <c r="C2607">
        <v>2606</v>
      </c>
      <c r="D2607">
        <v>1</v>
      </c>
      <c r="E2607">
        <v>1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1</v>
      </c>
      <c r="N2607">
        <v>1</v>
      </c>
      <c r="O2607">
        <v>1</v>
      </c>
      <c r="P2607">
        <v>1</v>
      </c>
      <c r="Q2607">
        <v>1</v>
      </c>
      <c r="R2607">
        <v>1</v>
      </c>
      <c r="S2607">
        <v>1</v>
      </c>
    </row>
    <row r="2608" spans="1:19" x14ac:dyDescent="0.25">
      <c r="A2608" s="1">
        <v>0.7659988888888889</v>
      </c>
      <c r="B2608" s="145" t="s">
        <v>165</v>
      </c>
      <c r="C2608">
        <v>2607</v>
      </c>
      <c r="D2608">
        <v>1</v>
      </c>
      <c r="E2608">
        <v>1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1</v>
      </c>
      <c r="M2608">
        <v>1</v>
      </c>
      <c r="N2608">
        <v>1</v>
      </c>
      <c r="O2608">
        <v>1</v>
      </c>
      <c r="P2608">
        <v>1</v>
      </c>
      <c r="Q2608">
        <v>1</v>
      </c>
      <c r="R2608">
        <v>1</v>
      </c>
      <c r="S2608">
        <v>1</v>
      </c>
    </row>
    <row r="2609" spans="1:19" x14ac:dyDescent="0.25">
      <c r="A2609" s="1">
        <v>0.76599900462962967</v>
      </c>
      <c r="B2609" s="145" t="s">
        <v>165</v>
      </c>
      <c r="C2609">
        <v>2608</v>
      </c>
      <c r="D2609">
        <v>1</v>
      </c>
      <c r="E2609">
        <v>1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1</v>
      </c>
      <c r="N2609">
        <v>1</v>
      </c>
      <c r="O2609">
        <v>1</v>
      </c>
      <c r="P2609">
        <v>1</v>
      </c>
      <c r="Q2609">
        <v>1</v>
      </c>
      <c r="R2609">
        <v>1</v>
      </c>
      <c r="S2609">
        <v>1</v>
      </c>
    </row>
    <row r="2610" spans="1:19" x14ac:dyDescent="0.25">
      <c r="A2610" s="1">
        <v>0.76599912037037032</v>
      </c>
      <c r="B2610" s="145" t="s">
        <v>165</v>
      </c>
      <c r="C2610">
        <v>2609</v>
      </c>
      <c r="D2610">
        <v>1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1</v>
      </c>
      <c r="M2610">
        <v>1</v>
      </c>
      <c r="N2610">
        <v>1</v>
      </c>
      <c r="O2610">
        <v>1</v>
      </c>
      <c r="P2610">
        <v>1</v>
      </c>
      <c r="Q2610">
        <v>1</v>
      </c>
      <c r="R2610">
        <v>1</v>
      </c>
      <c r="S2610">
        <v>1</v>
      </c>
    </row>
    <row r="2611" spans="1:19" x14ac:dyDescent="0.25">
      <c r="A2611" s="1">
        <v>0.76599923611111109</v>
      </c>
      <c r="B2611" s="145" t="s">
        <v>2</v>
      </c>
      <c r="C2611">
        <v>2610</v>
      </c>
      <c r="D2611">
        <v>0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1</v>
      </c>
      <c r="N2611">
        <v>1</v>
      </c>
      <c r="O2611">
        <v>1</v>
      </c>
      <c r="P2611">
        <v>1</v>
      </c>
      <c r="Q2611">
        <v>1</v>
      </c>
      <c r="R2611">
        <v>1</v>
      </c>
      <c r="S2611">
        <v>1</v>
      </c>
    </row>
    <row r="2612" spans="1:19" x14ac:dyDescent="0.25">
      <c r="A2612" s="1">
        <v>0.76599935185185186</v>
      </c>
      <c r="B2612" s="145" t="s">
        <v>2</v>
      </c>
      <c r="C2612">
        <v>2611</v>
      </c>
      <c r="D2612">
        <v>0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</row>
    <row r="2613" spans="1:19" x14ac:dyDescent="0.25">
      <c r="A2613" s="1">
        <v>0.76599946759259263</v>
      </c>
      <c r="B2613" s="145" t="s">
        <v>165</v>
      </c>
      <c r="C2613">
        <v>2612</v>
      </c>
      <c r="D2613">
        <v>1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1</v>
      </c>
      <c r="O2613">
        <v>1</v>
      </c>
      <c r="P2613">
        <v>1</v>
      </c>
      <c r="Q2613">
        <v>1</v>
      </c>
      <c r="R2613">
        <v>1</v>
      </c>
      <c r="S2613">
        <v>1</v>
      </c>
    </row>
    <row r="2614" spans="1:19" x14ac:dyDescent="0.25">
      <c r="A2614" s="1">
        <v>0.76599958333333329</v>
      </c>
      <c r="B2614" s="145" t="s">
        <v>165</v>
      </c>
      <c r="C2614">
        <v>2613</v>
      </c>
      <c r="D2614">
        <v>1</v>
      </c>
      <c r="E2614">
        <v>1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1</v>
      </c>
      <c r="O2614">
        <v>1</v>
      </c>
      <c r="P2614">
        <v>1</v>
      </c>
      <c r="Q2614">
        <v>1</v>
      </c>
      <c r="R2614">
        <v>1</v>
      </c>
      <c r="S2614">
        <v>1</v>
      </c>
    </row>
    <row r="2615" spans="1:19" x14ac:dyDescent="0.25">
      <c r="A2615" s="1">
        <v>0.76599969907407406</v>
      </c>
      <c r="B2615" s="145" t="s">
        <v>165</v>
      </c>
      <c r="C2615">
        <v>2614</v>
      </c>
      <c r="D2615">
        <v>1</v>
      </c>
      <c r="E2615">
        <v>1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</v>
      </c>
      <c r="N2615">
        <v>1</v>
      </c>
      <c r="O2615">
        <v>1</v>
      </c>
      <c r="P2615">
        <v>1</v>
      </c>
      <c r="Q2615">
        <v>1</v>
      </c>
      <c r="R2615">
        <v>1</v>
      </c>
      <c r="S2615">
        <v>1</v>
      </c>
    </row>
    <row r="2616" spans="1:19" x14ac:dyDescent="0.25">
      <c r="A2616" s="1">
        <v>0.76599981481481483</v>
      </c>
      <c r="B2616" s="145" t="s">
        <v>165</v>
      </c>
      <c r="C2616">
        <v>2615</v>
      </c>
      <c r="D2616">
        <v>1</v>
      </c>
      <c r="E2616">
        <v>1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1</v>
      </c>
      <c r="N2616">
        <v>1</v>
      </c>
      <c r="O2616">
        <v>1</v>
      </c>
      <c r="P2616">
        <v>1</v>
      </c>
      <c r="Q2616">
        <v>1</v>
      </c>
      <c r="R2616">
        <v>1</v>
      </c>
      <c r="S2616">
        <v>1</v>
      </c>
    </row>
    <row r="2617" spans="1:19" x14ac:dyDescent="0.25">
      <c r="A2617" s="1">
        <v>0.7659999305555556</v>
      </c>
      <c r="B2617" s="145" t="s">
        <v>2</v>
      </c>
      <c r="C2617">
        <v>2616</v>
      </c>
      <c r="D2617">
        <v>0</v>
      </c>
      <c r="E2617">
        <v>1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1</v>
      </c>
      <c r="N2617">
        <v>1</v>
      </c>
      <c r="O2617">
        <v>1</v>
      </c>
      <c r="P2617">
        <v>1</v>
      </c>
      <c r="Q2617">
        <v>1</v>
      </c>
      <c r="R2617">
        <v>1</v>
      </c>
      <c r="S2617">
        <v>1</v>
      </c>
    </row>
    <row r="2618" spans="1:19" x14ac:dyDescent="0.25">
      <c r="A2618" s="1">
        <v>0.76600004629629626</v>
      </c>
      <c r="B2618" s="145" t="s">
        <v>2</v>
      </c>
      <c r="C2618">
        <v>2617</v>
      </c>
      <c r="D2618">
        <v>0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1</v>
      </c>
      <c r="M2618">
        <v>1</v>
      </c>
      <c r="N2618">
        <v>1</v>
      </c>
      <c r="O2618">
        <v>1</v>
      </c>
      <c r="P2618">
        <v>1</v>
      </c>
      <c r="Q2618">
        <v>1</v>
      </c>
      <c r="R2618">
        <v>1</v>
      </c>
      <c r="S2618">
        <v>1</v>
      </c>
    </row>
    <row r="2619" spans="1:19" x14ac:dyDescent="0.25">
      <c r="A2619" s="1">
        <v>0.76600016203703702</v>
      </c>
      <c r="B2619" s="145" t="s">
        <v>165</v>
      </c>
      <c r="C2619">
        <v>2618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1</v>
      </c>
      <c r="N2619">
        <v>1</v>
      </c>
      <c r="O2619">
        <v>1</v>
      </c>
      <c r="P2619">
        <v>1</v>
      </c>
      <c r="Q2619">
        <v>1</v>
      </c>
      <c r="R2619">
        <v>1</v>
      </c>
      <c r="S2619">
        <v>1</v>
      </c>
    </row>
    <row r="2620" spans="1:19" x14ac:dyDescent="0.25">
      <c r="A2620" s="1">
        <v>0.76600027777777779</v>
      </c>
      <c r="B2620" s="145" t="s">
        <v>165</v>
      </c>
      <c r="C2620">
        <v>2619</v>
      </c>
      <c r="D2620">
        <v>1</v>
      </c>
      <c r="E2620">
        <v>1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1</v>
      </c>
      <c r="N2620">
        <v>1</v>
      </c>
      <c r="O2620">
        <v>1</v>
      </c>
      <c r="P2620">
        <v>1</v>
      </c>
      <c r="Q2620">
        <v>1</v>
      </c>
      <c r="R2620">
        <v>1</v>
      </c>
      <c r="S2620">
        <v>1</v>
      </c>
    </row>
    <row r="2621" spans="1:19" x14ac:dyDescent="0.25">
      <c r="A2621" s="1">
        <v>0.76600039351851856</v>
      </c>
      <c r="B2621" s="145" t="s">
        <v>165</v>
      </c>
      <c r="C2621">
        <v>2620</v>
      </c>
      <c r="D2621">
        <v>1</v>
      </c>
      <c r="E2621">
        <v>1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1</v>
      </c>
      <c r="N2621">
        <v>1</v>
      </c>
      <c r="O2621">
        <v>1</v>
      </c>
      <c r="P2621">
        <v>1</v>
      </c>
      <c r="Q2621">
        <v>1</v>
      </c>
      <c r="R2621">
        <v>1</v>
      </c>
      <c r="S2621">
        <v>1</v>
      </c>
    </row>
    <row r="2622" spans="1:19" x14ac:dyDescent="0.25">
      <c r="A2622" s="1">
        <v>0.76600050925925922</v>
      </c>
      <c r="B2622" s="145" t="s">
        <v>165</v>
      </c>
      <c r="C2622">
        <v>2621</v>
      </c>
      <c r="D2622">
        <v>1</v>
      </c>
      <c r="E2622">
        <v>1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1</v>
      </c>
      <c r="N2622">
        <v>1</v>
      </c>
      <c r="O2622">
        <v>1</v>
      </c>
      <c r="P2622">
        <v>1</v>
      </c>
      <c r="Q2622">
        <v>1</v>
      </c>
      <c r="R2622">
        <v>1</v>
      </c>
      <c r="S2622">
        <v>1</v>
      </c>
    </row>
    <row r="2623" spans="1:19" x14ac:dyDescent="0.25">
      <c r="A2623" s="1">
        <v>0.76600062499999999</v>
      </c>
      <c r="B2623" s="145" t="s">
        <v>2</v>
      </c>
      <c r="C2623">
        <v>2622</v>
      </c>
      <c r="D2623">
        <v>0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</row>
    <row r="2624" spans="1:19" x14ac:dyDescent="0.25">
      <c r="A2624" s="1">
        <v>0.76600074074074076</v>
      </c>
      <c r="B2624" s="145" t="s">
        <v>2</v>
      </c>
      <c r="C2624">
        <v>2623</v>
      </c>
      <c r="D2624">
        <v>0</v>
      </c>
      <c r="E2624">
        <v>1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1</v>
      </c>
      <c r="O2624">
        <v>1</v>
      </c>
      <c r="P2624">
        <v>1</v>
      </c>
      <c r="Q2624">
        <v>1</v>
      </c>
      <c r="R2624">
        <v>1</v>
      </c>
      <c r="S2624">
        <v>1</v>
      </c>
    </row>
    <row r="2625" spans="1:19" x14ac:dyDescent="0.25">
      <c r="A2625" s="1">
        <v>0.76600085648148153</v>
      </c>
      <c r="B2625" s="145" t="s">
        <v>165</v>
      </c>
      <c r="C2625">
        <v>2624</v>
      </c>
      <c r="D2625">
        <v>1</v>
      </c>
      <c r="E2625">
        <v>1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1</v>
      </c>
      <c r="N2625">
        <v>1</v>
      </c>
      <c r="O2625">
        <v>1</v>
      </c>
      <c r="P2625">
        <v>1</v>
      </c>
      <c r="Q2625">
        <v>1</v>
      </c>
      <c r="R2625">
        <v>1</v>
      </c>
      <c r="S2625">
        <v>1</v>
      </c>
    </row>
    <row r="2626" spans="1:19" x14ac:dyDescent="0.25">
      <c r="A2626" s="1">
        <v>0.76600097222222219</v>
      </c>
      <c r="B2626" s="145" t="s">
        <v>165</v>
      </c>
      <c r="C2626">
        <v>2625</v>
      </c>
      <c r="D2626">
        <v>1</v>
      </c>
      <c r="E2626">
        <v>1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1</v>
      </c>
      <c r="N2626">
        <v>1</v>
      </c>
      <c r="O2626">
        <v>1</v>
      </c>
      <c r="P2626">
        <v>1</v>
      </c>
      <c r="Q2626">
        <v>1</v>
      </c>
      <c r="R2626">
        <v>1</v>
      </c>
      <c r="S2626">
        <v>1</v>
      </c>
    </row>
    <row r="2627" spans="1:19" x14ac:dyDescent="0.25">
      <c r="A2627" s="1">
        <v>0.76600108796296296</v>
      </c>
      <c r="B2627" s="145" t="s">
        <v>165</v>
      </c>
      <c r="C2627">
        <v>2626</v>
      </c>
      <c r="D2627">
        <v>1</v>
      </c>
      <c r="E2627">
        <v>1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1</v>
      </c>
      <c r="N2627">
        <v>1</v>
      </c>
      <c r="O2627">
        <v>1</v>
      </c>
      <c r="P2627">
        <v>1</v>
      </c>
      <c r="Q2627">
        <v>1</v>
      </c>
      <c r="R2627">
        <v>1</v>
      </c>
      <c r="S2627">
        <v>1</v>
      </c>
    </row>
    <row r="2628" spans="1:19" x14ac:dyDescent="0.25">
      <c r="A2628" s="1">
        <v>0.76600120370370373</v>
      </c>
      <c r="B2628" s="145" t="s">
        <v>165</v>
      </c>
      <c r="C2628">
        <v>2627</v>
      </c>
      <c r="D2628">
        <v>1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</v>
      </c>
      <c r="N2628">
        <v>1</v>
      </c>
      <c r="O2628">
        <v>1</v>
      </c>
      <c r="P2628">
        <v>1</v>
      </c>
      <c r="Q2628">
        <v>1</v>
      </c>
      <c r="R2628">
        <v>1</v>
      </c>
      <c r="S2628">
        <v>1</v>
      </c>
    </row>
    <row r="2629" spans="1:19" x14ac:dyDescent="0.25">
      <c r="A2629" s="1">
        <v>0.7660013194444445</v>
      </c>
      <c r="B2629" s="145" t="s">
        <v>2</v>
      </c>
      <c r="C2629">
        <v>2628</v>
      </c>
      <c r="D2629">
        <v>0</v>
      </c>
      <c r="E2629">
        <v>1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1</v>
      </c>
      <c r="N2629">
        <v>1</v>
      </c>
      <c r="O2629">
        <v>1</v>
      </c>
      <c r="P2629">
        <v>1</v>
      </c>
      <c r="Q2629">
        <v>1</v>
      </c>
      <c r="R2629">
        <v>1</v>
      </c>
      <c r="S2629">
        <v>1</v>
      </c>
    </row>
    <row r="2630" spans="1:19" x14ac:dyDescent="0.25">
      <c r="A2630" s="1">
        <v>0.76600143518518515</v>
      </c>
      <c r="B2630" s="145" t="s">
        <v>2</v>
      </c>
      <c r="C2630">
        <v>2629</v>
      </c>
      <c r="D2630">
        <v>0</v>
      </c>
      <c r="E2630">
        <v>1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1</v>
      </c>
      <c r="M2630">
        <v>1</v>
      </c>
      <c r="N2630">
        <v>1</v>
      </c>
      <c r="O2630">
        <v>1</v>
      </c>
      <c r="P2630">
        <v>1</v>
      </c>
      <c r="Q2630">
        <v>1</v>
      </c>
      <c r="R2630">
        <v>1</v>
      </c>
      <c r="S2630">
        <v>1</v>
      </c>
    </row>
    <row r="2631" spans="1:19" x14ac:dyDescent="0.25">
      <c r="A2631" s="1">
        <v>0.76600155092592592</v>
      </c>
      <c r="B2631" s="145" t="s">
        <v>165</v>
      </c>
      <c r="C2631">
        <v>2630</v>
      </c>
      <c r="D2631">
        <v>1</v>
      </c>
      <c r="E2631">
        <v>1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1</v>
      </c>
      <c r="N2631">
        <v>1</v>
      </c>
      <c r="O2631">
        <v>1</v>
      </c>
      <c r="P2631">
        <v>1</v>
      </c>
      <c r="Q2631">
        <v>1</v>
      </c>
      <c r="R2631">
        <v>1</v>
      </c>
      <c r="S2631">
        <v>1</v>
      </c>
    </row>
    <row r="2632" spans="1:19" x14ac:dyDescent="0.25">
      <c r="A2632" s="1">
        <v>0.76600166666666669</v>
      </c>
      <c r="B2632" s="145" t="s">
        <v>165</v>
      </c>
      <c r="C2632">
        <v>2631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1</v>
      </c>
      <c r="N2632">
        <v>1</v>
      </c>
      <c r="O2632">
        <v>1</v>
      </c>
      <c r="P2632">
        <v>1</v>
      </c>
      <c r="Q2632">
        <v>1</v>
      </c>
      <c r="R2632">
        <v>1</v>
      </c>
      <c r="S2632">
        <v>1</v>
      </c>
    </row>
    <row r="2633" spans="1:19" x14ac:dyDescent="0.25">
      <c r="A2633" s="1">
        <v>0.76600178240740746</v>
      </c>
      <c r="B2633" s="145" t="s">
        <v>165</v>
      </c>
      <c r="C2633">
        <v>2632</v>
      </c>
      <c r="D2633">
        <v>1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1</v>
      </c>
      <c r="M2633">
        <v>1</v>
      </c>
      <c r="N2633">
        <v>1</v>
      </c>
      <c r="O2633">
        <v>1</v>
      </c>
      <c r="P2633">
        <v>1</v>
      </c>
      <c r="Q2633">
        <v>1</v>
      </c>
      <c r="R2633">
        <v>1</v>
      </c>
      <c r="S2633">
        <v>1</v>
      </c>
    </row>
    <row r="2634" spans="1:19" x14ac:dyDescent="0.25">
      <c r="A2634" s="1">
        <v>0.76600189814814812</v>
      </c>
      <c r="B2634" s="145" t="s">
        <v>165</v>
      </c>
      <c r="C2634">
        <v>2633</v>
      </c>
      <c r="D2634">
        <v>1</v>
      </c>
      <c r="E2634">
        <v>1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1</v>
      </c>
      <c r="O2634">
        <v>1</v>
      </c>
      <c r="P2634">
        <v>1</v>
      </c>
      <c r="Q2634">
        <v>1</v>
      </c>
      <c r="R2634">
        <v>1</v>
      </c>
      <c r="S2634">
        <v>1</v>
      </c>
    </row>
    <row r="2635" spans="1:19" x14ac:dyDescent="0.25">
      <c r="A2635" s="1">
        <v>0.76600201388888889</v>
      </c>
      <c r="B2635" s="145" t="s">
        <v>2</v>
      </c>
      <c r="C2635">
        <v>2634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1</v>
      </c>
      <c r="M2635">
        <v>1</v>
      </c>
      <c r="N2635">
        <v>1</v>
      </c>
      <c r="O2635">
        <v>1</v>
      </c>
      <c r="P2635">
        <v>1</v>
      </c>
      <c r="Q2635">
        <v>1</v>
      </c>
      <c r="R2635">
        <v>1</v>
      </c>
      <c r="S2635">
        <v>1</v>
      </c>
    </row>
    <row r="2636" spans="1:19" x14ac:dyDescent="0.25">
      <c r="A2636" s="1">
        <v>0.76600212962962966</v>
      </c>
      <c r="B2636" s="145" t="s">
        <v>2</v>
      </c>
      <c r="C2636">
        <v>2635</v>
      </c>
      <c r="D2636">
        <v>0</v>
      </c>
      <c r="E2636">
        <v>1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1</v>
      </c>
      <c r="M2636">
        <v>1</v>
      </c>
      <c r="N2636">
        <v>1</v>
      </c>
      <c r="O2636">
        <v>1</v>
      </c>
      <c r="P2636">
        <v>1</v>
      </c>
      <c r="Q2636">
        <v>1</v>
      </c>
      <c r="R2636">
        <v>1</v>
      </c>
      <c r="S2636">
        <v>1</v>
      </c>
    </row>
    <row r="2637" spans="1:19" x14ac:dyDescent="0.25">
      <c r="A2637" s="1">
        <v>0.76600224537037032</v>
      </c>
      <c r="B2637" s="145" t="s">
        <v>165</v>
      </c>
      <c r="C2637">
        <v>2636</v>
      </c>
      <c r="D2637">
        <v>1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1</v>
      </c>
      <c r="M2637">
        <v>1</v>
      </c>
      <c r="N2637">
        <v>1</v>
      </c>
      <c r="O2637">
        <v>1</v>
      </c>
      <c r="P2637">
        <v>1</v>
      </c>
      <c r="Q2637">
        <v>1</v>
      </c>
      <c r="R2637">
        <v>1</v>
      </c>
      <c r="S2637">
        <v>1</v>
      </c>
    </row>
    <row r="2638" spans="1:19" x14ac:dyDescent="0.25">
      <c r="A2638" s="1">
        <v>0.76600236111111109</v>
      </c>
      <c r="B2638" s="145" t="s">
        <v>165</v>
      </c>
      <c r="C2638">
        <v>2637</v>
      </c>
      <c r="D2638">
        <v>1</v>
      </c>
      <c r="E2638">
        <v>1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1</v>
      </c>
      <c r="N2638">
        <v>1</v>
      </c>
      <c r="O2638">
        <v>1</v>
      </c>
      <c r="P2638">
        <v>1</v>
      </c>
      <c r="Q2638">
        <v>1</v>
      </c>
      <c r="R2638">
        <v>1</v>
      </c>
      <c r="S2638">
        <v>1</v>
      </c>
    </row>
    <row r="2639" spans="1:19" x14ac:dyDescent="0.25">
      <c r="A2639" s="1">
        <v>0.76600247685185185</v>
      </c>
      <c r="B2639" s="145" t="s">
        <v>165</v>
      </c>
      <c r="C2639">
        <v>2638</v>
      </c>
      <c r="D2639">
        <v>1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1</v>
      </c>
      <c r="M2639">
        <v>1</v>
      </c>
      <c r="N2639">
        <v>1</v>
      </c>
      <c r="O2639">
        <v>1</v>
      </c>
      <c r="P2639">
        <v>1</v>
      </c>
      <c r="Q2639">
        <v>1</v>
      </c>
      <c r="R2639">
        <v>1</v>
      </c>
      <c r="S2639">
        <v>1</v>
      </c>
    </row>
    <row r="2640" spans="1:19" x14ac:dyDescent="0.25">
      <c r="A2640" s="1">
        <v>0.76600259259259262</v>
      </c>
      <c r="B2640" s="145" t="s">
        <v>165</v>
      </c>
      <c r="C2640">
        <v>2639</v>
      </c>
      <c r="D2640">
        <v>1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1</v>
      </c>
      <c r="N2640">
        <v>1</v>
      </c>
      <c r="O2640">
        <v>1</v>
      </c>
      <c r="P2640">
        <v>1</v>
      </c>
      <c r="Q2640">
        <v>1</v>
      </c>
      <c r="R2640">
        <v>1</v>
      </c>
      <c r="S2640">
        <v>1</v>
      </c>
    </row>
    <row r="2641" spans="1:19" x14ac:dyDescent="0.25">
      <c r="A2641" s="1">
        <v>0.76600269675925925</v>
      </c>
      <c r="B2641" s="145" t="s">
        <v>2</v>
      </c>
      <c r="C2641">
        <v>2640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1</v>
      </c>
      <c r="N2641">
        <v>1</v>
      </c>
      <c r="O2641">
        <v>1</v>
      </c>
      <c r="P2641">
        <v>1</v>
      </c>
      <c r="Q2641">
        <v>1</v>
      </c>
      <c r="R2641">
        <v>1</v>
      </c>
      <c r="S2641">
        <v>1</v>
      </c>
    </row>
    <row r="2642" spans="1:19" x14ac:dyDescent="0.25">
      <c r="A2642" s="1">
        <v>0.76600281250000002</v>
      </c>
      <c r="B2642" s="145" t="s">
        <v>2</v>
      </c>
      <c r="C2642">
        <v>2641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1</v>
      </c>
      <c r="N2642">
        <v>1</v>
      </c>
      <c r="O2642">
        <v>1</v>
      </c>
      <c r="P2642">
        <v>1</v>
      </c>
      <c r="Q2642">
        <v>1</v>
      </c>
      <c r="R2642">
        <v>1</v>
      </c>
      <c r="S2642">
        <v>1</v>
      </c>
    </row>
    <row r="2643" spans="1:19" x14ac:dyDescent="0.25">
      <c r="A2643" s="1">
        <v>0.76600292824074079</v>
      </c>
      <c r="B2643" s="145" t="s">
        <v>165</v>
      </c>
      <c r="C2643">
        <v>2642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1</v>
      </c>
      <c r="M2643">
        <v>1</v>
      </c>
      <c r="N2643">
        <v>1</v>
      </c>
      <c r="O2643">
        <v>1</v>
      </c>
      <c r="P2643">
        <v>1</v>
      </c>
      <c r="Q2643">
        <v>1</v>
      </c>
      <c r="R2643">
        <v>1</v>
      </c>
      <c r="S2643">
        <v>1</v>
      </c>
    </row>
    <row r="2644" spans="1:19" x14ac:dyDescent="0.25">
      <c r="A2644" s="1">
        <v>0.76600304398148145</v>
      </c>
      <c r="B2644" s="145" t="s">
        <v>165</v>
      </c>
      <c r="C2644">
        <v>2643</v>
      </c>
      <c r="D2644">
        <v>1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  <c r="M2644">
        <v>1</v>
      </c>
      <c r="N2644">
        <v>1</v>
      </c>
      <c r="O2644">
        <v>1</v>
      </c>
      <c r="P2644">
        <v>1</v>
      </c>
      <c r="Q2644">
        <v>1</v>
      </c>
      <c r="R2644">
        <v>1</v>
      </c>
      <c r="S2644">
        <v>1</v>
      </c>
    </row>
    <row r="2645" spans="1:19" x14ac:dyDescent="0.25">
      <c r="A2645" s="1">
        <v>0.76600315972222222</v>
      </c>
      <c r="B2645" s="145" t="s">
        <v>165</v>
      </c>
      <c r="C2645">
        <v>2644</v>
      </c>
      <c r="D2645">
        <v>1</v>
      </c>
      <c r="E2645">
        <v>1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1</v>
      </c>
      <c r="N2645">
        <v>1</v>
      </c>
      <c r="O2645">
        <v>1</v>
      </c>
      <c r="P2645">
        <v>1</v>
      </c>
      <c r="Q2645">
        <v>1</v>
      </c>
      <c r="R2645">
        <v>1</v>
      </c>
      <c r="S2645">
        <v>1</v>
      </c>
    </row>
    <row r="2646" spans="1:19" x14ac:dyDescent="0.25">
      <c r="A2646" s="1">
        <v>0.76600339120370375</v>
      </c>
      <c r="B2646" s="145" t="s">
        <v>2</v>
      </c>
      <c r="C2646">
        <v>2645</v>
      </c>
      <c r="D2646">
        <v>0</v>
      </c>
      <c r="E2646">
        <v>1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1</v>
      </c>
      <c r="N2646">
        <v>1</v>
      </c>
      <c r="O2646">
        <v>1</v>
      </c>
      <c r="P2646">
        <v>1</v>
      </c>
      <c r="Q2646">
        <v>1</v>
      </c>
      <c r="R2646">
        <v>1</v>
      </c>
      <c r="S2646">
        <v>1</v>
      </c>
    </row>
    <row r="2647" spans="1:19" x14ac:dyDescent="0.25">
      <c r="A2647" s="1">
        <v>0.76600350694444441</v>
      </c>
      <c r="B2647" s="145" t="s">
        <v>2</v>
      </c>
      <c r="C2647">
        <v>2646</v>
      </c>
      <c r="D2647">
        <v>0</v>
      </c>
      <c r="E2647">
        <v>1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1</v>
      </c>
      <c r="M2647">
        <v>1</v>
      </c>
      <c r="N2647">
        <v>1</v>
      </c>
      <c r="O2647">
        <v>1</v>
      </c>
      <c r="P2647">
        <v>1</v>
      </c>
      <c r="Q2647">
        <v>1</v>
      </c>
      <c r="R2647">
        <v>1</v>
      </c>
      <c r="S2647">
        <v>1</v>
      </c>
    </row>
    <row r="2648" spans="1:19" x14ac:dyDescent="0.25">
      <c r="A2648" s="1">
        <v>0.76600362268518518</v>
      </c>
      <c r="B2648" s="145" t="s">
        <v>165</v>
      </c>
      <c r="C2648">
        <v>2647</v>
      </c>
      <c r="D2648">
        <v>1</v>
      </c>
      <c r="E2648">
        <v>1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1</v>
      </c>
      <c r="M2648">
        <v>1</v>
      </c>
      <c r="N2648">
        <v>1</v>
      </c>
      <c r="O2648">
        <v>1</v>
      </c>
      <c r="P2648">
        <v>1</v>
      </c>
      <c r="Q2648">
        <v>1</v>
      </c>
      <c r="R2648">
        <v>1</v>
      </c>
      <c r="S2648">
        <v>1</v>
      </c>
    </row>
    <row r="2649" spans="1:19" x14ac:dyDescent="0.25">
      <c r="A2649" s="1">
        <v>0.76600374999999998</v>
      </c>
      <c r="B2649" s="145" t="s">
        <v>165</v>
      </c>
      <c r="C2649">
        <v>2648</v>
      </c>
      <c r="D2649">
        <v>1</v>
      </c>
      <c r="E2649">
        <v>1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1</v>
      </c>
      <c r="N2649">
        <v>1</v>
      </c>
      <c r="O2649">
        <v>1</v>
      </c>
      <c r="P2649">
        <v>1</v>
      </c>
      <c r="Q2649">
        <v>1</v>
      </c>
      <c r="R2649">
        <v>1</v>
      </c>
      <c r="S2649">
        <v>1</v>
      </c>
    </row>
    <row r="2650" spans="1:19" x14ac:dyDescent="0.25">
      <c r="A2650" s="1">
        <v>0.76600385416666672</v>
      </c>
      <c r="B2650" s="145" t="s">
        <v>165</v>
      </c>
      <c r="C2650">
        <v>2649</v>
      </c>
      <c r="D2650">
        <v>1</v>
      </c>
      <c r="E2650">
        <v>1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1</v>
      </c>
      <c r="M2650">
        <v>1</v>
      </c>
      <c r="N2650">
        <v>1</v>
      </c>
      <c r="O2650">
        <v>1</v>
      </c>
      <c r="P2650">
        <v>1</v>
      </c>
      <c r="Q2650">
        <v>1</v>
      </c>
      <c r="R2650">
        <v>1</v>
      </c>
      <c r="S2650">
        <v>1</v>
      </c>
    </row>
    <row r="2651" spans="1:19" x14ac:dyDescent="0.25">
      <c r="A2651" s="1">
        <v>0.76600396990740738</v>
      </c>
      <c r="B2651" s="145" t="s">
        <v>165</v>
      </c>
      <c r="C2651">
        <v>2650</v>
      </c>
      <c r="D2651">
        <v>1</v>
      </c>
      <c r="E2651">
        <v>1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1</v>
      </c>
      <c r="N2651">
        <v>1</v>
      </c>
      <c r="O2651">
        <v>1</v>
      </c>
      <c r="P2651">
        <v>1</v>
      </c>
      <c r="Q2651">
        <v>1</v>
      </c>
      <c r="R2651">
        <v>1</v>
      </c>
      <c r="S2651">
        <v>1</v>
      </c>
    </row>
    <row r="2652" spans="1:19" x14ac:dyDescent="0.25">
      <c r="A2652" s="1">
        <v>0.76600408564814815</v>
      </c>
      <c r="B2652" s="145" t="s">
        <v>2</v>
      </c>
      <c r="C2652">
        <v>2651</v>
      </c>
      <c r="D2652">
        <v>0</v>
      </c>
      <c r="E2652">
        <v>1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1</v>
      </c>
      <c r="O2652">
        <v>1</v>
      </c>
      <c r="P2652">
        <v>1</v>
      </c>
      <c r="Q2652">
        <v>1</v>
      </c>
      <c r="R2652">
        <v>1</v>
      </c>
      <c r="S2652">
        <v>1</v>
      </c>
    </row>
    <row r="2653" spans="1:19" x14ac:dyDescent="0.25">
      <c r="A2653" s="1">
        <v>0.76600420138888892</v>
      </c>
      <c r="B2653" s="145" t="s">
        <v>2</v>
      </c>
      <c r="C2653">
        <v>2652</v>
      </c>
      <c r="D2653">
        <v>0</v>
      </c>
      <c r="E2653">
        <v>1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1</v>
      </c>
      <c r="N2653">
        <v>1</v>
      </c>
      <c r="O2653">
        <v>1</v>
      </c>
      <c r="P2653">
        <v>1</v>
      </c>
      <c r="Q2653">
        <v>1</v>
      </c>
      <c r="R2653">
        <v>1</v>
      </c>
      <c r="S2653">
        <v>1</v>
      </c>
    </row>
    <row r="2654" spans="1:19" x14ac:dyDescent="0.25">
      <c r="A2654" s="1">
        <v>0.76600431712962957</v>
      </c>
      <c r="B2654" s="145" t="s">
        <v>165</v>
      </c>
      <c r="C2654">
        <v>2653</v>
      </c>
      <c r="D2654">
        <v>1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1</v>
      </c>
      <c r="M2654">
        <v>1</v>
      </c>
      <c r="N2654">
        <v>1</v>
      </c>
      <c r="O2654">
        <v>1</v>
      </c>
      <c r="P2654">
        <v>1</v>
      </c>
      <c r="Q2654">
        <v>1</v>
      </c>
      <c r="R2654">
        <v>1</v>
      </c>
      <c r="S2654">
        <v>1</v>
      </c>
    </row>
    <row r="2655" spans="1:19" x14ac:dyDescent="0.25">
      <c r="A2655" s="1">
        <v>0.76600443287037034</v>
      </c>
      <c r="B2655" s="145" t="s">
        <v>165</v>
      </c>
      <c r="C2655">
        <v>2654</v>
      </c>
      <c r="D2655">
        <v>1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1</v>
      </c>
      <c r="N2655">
        <v>1</v>
      </c>
      <c r="O2655">
        <v>1</v>
      </c>
      <c r="P2655">
        <v>1</v>
      </c>
      <c r="Q2655">
        <v>1</v>
      </c>
      <c r="R2655">
        <v>1</v>
      </c>
      <c r="S2655">
        <v>1</v>
      </c>
    </row>
    <row r="2656" spans="1:19" x14ac:dyDescent="0.25">
      <c r="A2656" s="1">
        <v>0.76600454861111111</v>
      </c>
      <c r="B2656" s="145" t="s">
        <v>165</v>
      </c>
      <c r="C2656">
        <v>2655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1</v>
      </c>
      <c r="N2656">
        <v>1</v>
      </c>
      <c r="O2656">
        <v>1</v>
      </c>
      <c r="P2656">
        <v>1</v>
      </c>
      <c r="Q2656">
        <v>1</v>
      </c>
      <c r="R2656">
        <v>1</v>
      </c>
      <c r="S2656">
        <v>1</v>
      </c>
    </row>
    <row r="2657" spans="1:19" x14ac:dyDescent="0.25">
      <c r="A2657" s="1">
        <v>0.76600466435185188</v>
      </c>
      <c r="B2657" s="145" t="s">
        <v>165</v>
      </c>
      <c r="C2657">
        <v>2656</v>
      </c>
      <c r="D2657">
        <v>1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1</v>
      </c>
      <c r="N2657">
        <v>1</v>
      </c>
      <c r="O2657">
        <v>1</v>
      </c>
      <c r="P2657">
        <v>1</v>
      </c>
      <c r="Q2657">
        <v>1</v>
      </c>
      <c r="R2657">
        <v>1</v>
      </c>
      <c r="S2657">
        <v>1</v>
      </c>
    </row>
    <row r="2658" spans="1:19" x14ac:dyDescent="0.25">
      <c r="A2658" s="1">
        <v>0.76600478009259254</v>
      </c>
      <c r="B2658" s="145" t="s">
        <v>2</v>
      </c>
      <c r="C2658">
        <v>2657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1</v>
      </c>
      <c r="M2658">
        <v>1</v>
      </c>
      <c r="N2658">
        <v>1</v>
      </c>
      <c r="O2658">
        <v>1</v>
      </c>
      <c r="P2658">
        <v>1</v>
      </c>
      <c r="Q2658">
        <v>1</v>
      </c>
      <c r="R2658">
        <v>1</v>
      </c>
      <c r="S2658">
        <v>1</v>
      </c>
    </row>
    <row r="2659" spans="1:19" x14ac:dyDescent="0.25">
      <c r="A2659" s="1">
        <v>0.76600489583333331</v>
      </c>
      <c r="B2659" s="145" t="s">
        <v>2</v>
      </c>
      <c r="C2659">
        <v>2658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1</v>
      </c>
      <c r="M2659">
        <v>1</v>
      </c>
      <c r="N2659">
        <v>1</v>
      </c>
      <c r="O2659">
        <v>1</v>
      </c>
      <c r="P2659">
        <v>1</v>
      </c>
      <c r="Q2659">
        <v>1</v>
      </c>
      <c r="R2659">
        <v>1</v>
      </c>
      <c r="S2659">
        <v>1</v>
      </c>
    </row>
    <row r="2660" spans="1:19" x14ac:dyDescent="0.25">
      <c r="A2660" s="1">
        <v>0.76600501157407408</v>
      </c>
      <c r="B2660" s="145" t="s">
        <v>165</v>
      </c>
      <c r="C2660">
        <v>2659</v>
      </c>
      <c r="D2660">
        <v>1</v>
      </c>
      <c r="E2660">
        <v>1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1</v>
      </c>
      <c r="M2660">
        <v>1</v>
      </c>
      <c r="N2660">
        <v>1</v>
      </c>
      <c r="O2660">
        <v>1</v>
      </c>
      <c r="P2660">
        <v>1</v>
      </c>
      <c r="Q2660">
        <v>1</v>
      </c>
      <c r="R2660">
        <v>1</v>
      </c>
      <c r="S2660">
        <v>1</v>
      </c>
    </row>
    <row r="2661" spans="1:19" x14ac:dyDescent="0.25">
      <c r="A2661" s="1">
        <v>0.76600512731481485</v>
      </c>
      <c r="B2661" s="145" t="s">
        <v>165</v>
      </c>
      <c r="C2661">
        <v>2660</v>
      </c>
      <c r="D2661">
        <v>1</v>
      </c>
      <c r="E2661">
        <v>1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1</v>
      </c>
      <c r="M2661">
        <v>1</v>
      </c>
      <c r="N2661">
        <v>1</v>
      </c>
      <c r="O2661">
        <v>1</v>
      </c>
      <c r="P2661">
        <v>1</v>
      </c>
      <c r="Q2661">
        <v>1</v>
      </c>
      <c r="R2661">
        <v>1</v>
      </c>
      <c r="S2661">
        <v>1</v>
      </c>
    </row>
    <row r="2662" spans="1:19" x14ac:dyDescent="0.25">
      <c r="A2662" s="1">
        <v>0.76600524305555551</v>
      </c>
      <c r="B2662" s="145" t="s">
        <v>165</v>
      </c>
      <c r="C2662">
        <v>2661</v>
      </c>
      <c r="D2662">
        <v>1</v>
      </c>
      <c r="E2662">
        <v>1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1</v>
      </c>
      <c r="N2662">
        <v>1</v>
      </c>
      <c r="O2662">
        <v>1</v>
      </c>
      <c r="P2662">
        <v>1</v>
      </c>
      <c r="Q2662">
        <v>1</v>
      </c>
      <c r="R2662">
        <v>1</v>
      </c>
      <c r="S2662">
        <v>1</v>
      </c>
    </row>
    <row r="2663" spans="1:19" x14ac:dyDescent="0.25">
      <c r="A2663" s="1">
        <v>0.76600535879629628</v>
      </c>
      <c r="B2663" s="145" t="s">
        <v>165</v>
      </c>
      <c r="C2663">
        <v>2662</v>
      </c>
      <c r="D2663">
        <v>1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1</v>
      </c>
      <c r="M2663">
        <v>1</v>
      </c>
      <c r="N2663">
        <v>1</v>
      </c>
      <c r="O2663">
        <v>1</v>
      </c>
      <c r="P2663">
        <v>1</v>
      </c>
      <c r="Q2663">
        <v>1</v>
      </c>
      <c r="R2663">
        <v>1</v>
      </c>
      <c r="S2663">
        <v>1</v>
      </c>
    </row>
    <row r="2664" spans="1:19" x14ac:dyDescent="0.25">
      <c r="A2664" s="1">
        <v>0.76600547453703705</v>
      </c>
      <c r="B2664" s="145" t="s">
        <v>2</v>
      </c>
      <c r="C2664">
        <v>2663</v>
      </c>
      <c r="D2664">
        <v>0</v>
      </c>
      <c r="E2664">
        <v>1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1</v>
      </c>
      <c r="N2664">
        <v>1</v>
      </c>
      <c r="O2664">
        <v>1</v>
      </c>
      <c r="P2664">
        <v>1</v>
      </c>
      <c r="Q2664">
        <v>1</v>
      </c>
      <c r="R2664">
        <v>1</v>
      </c>
      <c r="S2664">
        <v>1</v>
      </c>
    </row>
    <row r="2665" spans="1:19" x14ac:dyDescent="0.25">
      <c r="A2665" s="1">
        <v>0.76600559027777781</v>
      </c>
      <c r="B2665" s="145" t="s">
        <v>2</v>
      </c>
      <c r="C2665">
        <v>2664</v>
      </c>
      <c r="D2665">
        <v>0</v>
      </c>
      <c r="E2665">
        <v>1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1</v>
      </c>
      <c r="N2665">
        <v>1</v>
      </c>
      <c r="O2665">
        <v>1</v>
      </c>
      <c r="P2665">
        <v>1</v>
      </c>
      <c r="Q2665">
        <v>1</v>
      </c>
      <c r="R2665">
        <v>1</v>
      </c>
      <c r="S2665">
        <v>1</v>
      </c>
    </row>
    <row r="2666" spans="1:19" x14ac:dyDescent="0.25">
      <c r="A2666" s="1">
        <v>0.76600570601851847</v>
      </c>
      <c r="B2666" s="145" t="s">
        <v>165</v>
      </c>
      <c r="C2666">
        <v>2665</v>
      </c>
      <c r="D2666">
        <v>1</v>
      </c>
      <c r="E2666">
        <v>1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1</v>
      </c>
      <c r="M2666">
        <v>1</v>
      </c>
      <c r="N2666">
        <v>1</v>
      </c>
      <c r="O2666">
        <v>1</v>
      </c>
      <c r="P2666">
        <v>1</v>
      </c>
      <c r="Q2666">
        <v>1</v>
      </c>
      <c r="R2666">
        <v>1</v>
      </c>
      <c r="S2666">
        <v>1</v>
      </c>
    </row>
    <row r="2667" spans="1:19" x14ac:dyDescent="0.25">
      <c r="A2667" s="1">
        <v>0.76600582175925924</v>
      </c>
      <c r="B2667" s="145" t="s">
        <v>165</v>
      </c>
      <c r="C2667">
        <v>2666</v>
      </c>
      <c r="D2667">
        <v>1</v>
      </c>
      <c r="E2667">
        <v>1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1</v>
      </c>
      <c r="M2667">
        <v>1</v>
      </c>
      <c r="N2667">
        <v>1</v>
      </c>
      <c r="O2667">
        <v>1</v>
      </c>
      <c r="P2667">
        <v>1</v>
      </c>
      <c r="Q2667">
        <v>1</v>
      </c>
      <c r="R2667">
        <v>1</v>
      </c>
      <c r="S2667">
        <v>1</v>
      </c>
    </row>
    <row r="2668" spans="1:19" x14ac:dyDescent="0.25">
      <c r="A2668" s="1">
        <v>0.76600593750000001</v>
      </c>
      <c r="B2668" s="145" t="s">
        <v>165</v>
      </c>
      <c r="C2668">
        <v>2667</v>
      </c>
      <c r="D2668">
        <v>1</v>
      </c>
      <c r="E2668">
        <v>1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1</v>
      </c>
      <c r="M2668">
        <v>1</v>
      </c>
      <c r="N2668">
        <v>1</v>
      </c>
      <c r="O2668">
        <v>1</v>
      </c>
      <c r="P2668">
        <v>1</v>
      </c>
      <c r="Q2668">
        <v>1</v>
      </c>
      <c r="R2668">
        <v>1</v>
      </c>
      <c r="S2668">
        <v>1</v>
      </c>
    </row>
    <row r="2669" spans="1:19" x14ac:dyDescent="0.25">
      <c r="A2669" s="1">
        <v>0.76600605324074078</v>
      </c>
      <c r="B2669" s="145" t="s">
        <v>165</v>
      </c>
      <c r="C2669">
        <v>2668</v>
      </c>
      <c r="D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1</v>
      </c>
      <c r="N2669">
        <v>1</v>
      </c>
      <c r="O2669">
        <v>1</v>
      </c>
      <c r="P2669">
        <v>1</v>
      </c>
      <c r="Q2669">
        <v>1</v>
      </c>
      <c r="R2669">
        <v>1</v>
      </c>
      <c r="S2669">
        <v>1</v>
      </c>
    </row>
    <row r="2670" spans="1:19" x14ac:dyDescent="0.25">
      <c r="A2670" s="1">
        <v>0.76600616898148144</v>
      </c>
      <c r="B2670" s="145" t="s">
        <v>2</v>
      </c>
      <c r="C2670">
        <v>2669</v>
      </c>
      <c r="D2670">
        <v>0</v>
      </c>
      <c r="E2670">
        <v>1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1</v>
      </c>
      <c r="N2670">
        <v>1</v>
      </c>
      <c r="O2670">
        <v>1</v>
      </c>
      <c r="P2670">
        <v>1</v>
      </c>
      <c r="Q2670">
        <v>1</v>
      </c>
      <c r="R2670">
        <v>1</v>
      </c>
      <c r="S2670">
        <v>1</v>
      </c>
    </row>
    <row r="2671" spans="1:19" x14ac:dyDescent="0.25">
      <c r="A2671" s="1">
        <v>0.76600628472222221</v>
      </c>
      <c r="B2671" s="145" t="s">
        <v>2</v>
      </c>
      <c r="C2671">
        <v>2670</v>
      </c>
      <c r="D2671">
        <v>0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1</v>
      </c>
      <c r="N2671">
        <v>1</v>
      </c>
      <c r="O2671">
        <v>1</v>
      </c>
      <c r="P2671">
        <v>1</v>
      </c>
      <c r="Q2671">
        <v>1</v>
      </c>
      <c r="R2671">
        <v>1</v>
      </c>
      <c r="S2671">
        <v>1</v>
      </c>
    </row>
    <row r="2672" spans="1:19" x14ac:dyDescent="0.25">
      <c r="A2672" s="1">
        <v>0.76600640046296298</v>
      </c>
      <c r="B2672" s="145" t="s">
        <v>165</v>
      </c>
      <c r="C2672">
        <v>2671</v>
      </c>
      <c r="D2672">
        <v>1</v>
      </c>
      <c r="E2672">
        <v>1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1</v>
      </c>
      <c r="N2672">
        <v>1</v>
      </c>
      <c r="O2672">
        <v>1</v>
      </c>
      <c r="P2672">
        <v>1</v>
      </c>
      <c r="Q2672">
        <v>1</v>
      </c>
      <c r="R2672">
        <v>1</v>
      </c>
      <c r="S2672">
        <v>1</v>
      </c>
    </row>
    <row r="2673" spans="1:19" x14ac:dyDescent="0.25">
      <c r="A2673" s="1">
        <v>0.76600651620370375</v>
      </c>
      <c r="B2673" s="145" t="s">
        <v>165</v>
      </c>
      <c r="C2673">
        <v>2672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1</v>
      </c>
      <c r="N2673">
        <v>1</v>
      </c>
      <c r="O2673">
        <v>1</v>
      </c>
      <c r="P2673">
        <v>1</v>
      </c>
      <c r="Q2673">
        <v>1</v>
      </c>
      <c r="R2673">
        <v>1</v>
      </c>
      <c r="S2673">
        <v>1</v>
      </c>
    </row>
    <row r="2674" spans="1:19" x14ac:dyDescent="0.25">
      <c r="A2674" s="1">
        <v>0.7660066319444444</v>
      </c>
      <c r="B2674" s="145" t="s">
        <v>165</v>
      </c>
      <c r="C2674">
        <v>2673</v>
      </c>
      <c r="D2674">
        <v>1</v>
      </c>
      <c r="E2674">
        <v>1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</v>
      </c>
      <c r="M2674">
        <v>1</v>
      </c>
      <c r="N2674">
        <v>1</v>
      </c>
      <c r="O2674">
        <v>1</v>
      </c>
      <c r="P2674">
        <v>1</v>
      </c>
      <c r="Q2674">
        <v>1</v>
      </c>
      <c r="R2674">
        <v>1</v>
      </c>
      <c r="S2674">
        <v>1</v>
      </c>
    </row>
    <row r="2675" spans="1:19" x14ac:dyDescent="0.25">
      <c r="A2675" s="1">
        <v>0.76600674768518517</v>
      </c>
      <c r="B2675" s="145" t="s">
        <v>165</v>
      </c>
      <c r="C2675">
        <v>2674</v>
      </c>
      <c r="D2675">
        <v>1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1</v>
      </c>
      <c r="M2675">
        <v>1</v>
      </c>
      <c r="N2675">
        <v>1</v>
      </c>
      <c r="O2675">
        <v>1</v>
      </c>
      <c r="P2675">
        <v>1</v>
      </c>
      <c r="Q2675">
        <v>1</v>
      </c>
      <c r="R2675">
        <v>1</v>
      </c>
      <c r="S2675">
        <v>1</v>
      </c>
    </row>
    <row r="2676" spans="1:19" x14ac:dyDescent="0.25">
      <c r="A2676" s="1">
        <v>0.76600686342592594</v>
      </c>
      <c r="B2676" s="145" t="s">
        <v>2</v>
      </c>
      <c r="C2676">
        <v>2675</v>
      </c>
      <c r="D2676">
        <v>0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1</v>
      </c>
      <c r="M2676">
        <v>1</v>
      </c>
      <c r="N2676">
        <v>1</v>
      </c>
      <c r="O2676">
        <v>1</v>
      </c>
      <c r="P2676">
        <v>1</v>
      </c>
      <c r="Q2676">
        <v>1</v>
      </c>
      <c r="R2676">
        <v>1</v>
      </c>
      <c r="S2676">
        <v>1</v>
      </c>
    </row>
    <row r="2677" spans="1:19" x14ac:dyDescent="0.25">
      <c r="A2677" s="1">
        <v>0.76600697916666671</v>
      </c>
      <c r="B2677" s="145" t="s">
        <v>2</v>
      </c>
      <c r="C2677">
        <v>2676</v>
      </c>
      <c r="D2677">
        <v>0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1</v>
      </c>
      <c r="M2677">
        <v>1</v>
      </c>
      <c r="N2677">
        <v>1</v>
      </c>
      <c r="O2677">
        <v>1</v>
      </c>
      <c r="P2677">
        <v>1</v>
      </c>
      <c r="Q2677">
        <v>1</v>
      </c>
      <c r="R2677">
        <v>1</v>
      </c>
      <c r="S2677">
        <v>1</v>
      </c>
    </row>
    <row r="2678" spans="1:19" x14ac:dyDescent="0.25">
      <c r="A2678" s="1">
        <v>0.76600709490740737</v>
      </c>
      <c r="B2678" s="145" t="s">
        <v>165</v>
      </c>
      <c r="C2678">
        <v>2677</v>
      </c>
      <c r="D2678">
        <v>1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1</v>
      </c>
      <c r="M2678">
        <v>1</v>
      </c>
      <c r="N2678">
        <v>1</v>
      </c>
      <c r="O2678">
        <v>1</v>
      </c>
      <c r="P2678">
        <v>1</v>
      </c>
      <c r="Q2678">
        <v>1</v>
      </c>
      <c r="R2678">
        <v>1</v>
      </c>
      <c r="S2678">
        <v>1</v>
      </c>
    </row>
    <row r="2679" spans="1:19" x14ac:dyDescent="0.25">
      <c r="A2679" s="1">
        <v>0.76600721064814814</v>
      </c>
      <c r="B2679" s="145" t="s">
        <v>165</v>
      </c>
      <c r="C2679">
        <v>2678</v>
      </c>
      <c r="D2679">
        <v>1</v>
      </c>
      <c r="E2679">
        <v>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1</v>
      </c>
      <c r="O2679">
        <v>1</v>
      </c>
      <c r="P2679">
        <v>1</v>
      </c>
      <c r="Q2679">
        <v>1</v>
      </c>
      <c r="R2679">
        <v>1</v>
      </c>
      <c r="S2679">
        <v>1</v>
      </c>
    </row>
    <row r="2680" spans="1:19" x14ac:dyDescent="0.25">
      <c r="A2680" s="1">
        <v>0.76600732638888891</v>
      </c>
      <c r="B2680" s="145" t="s">
        <v>165</v>
      </c>
      <c r="C2680">
        <v>2679</v>
      </c>
      <c r="D2680">
        <v>1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1</v>
      </c>
      <c r="N2680">
        <v>1</v>
      </c>
      <c r="O2680">
        <v>1</v>
      </c>
      <c r="P2680">
        <v>1</v>
      </c>
      <c r="Q2680">
        <v>1</v>
      </c>
      <c r="R2680">
        <v>1</v>
      </c>
      <c r="S2680">
        <v>1</v>
      </c>
    </row>
    <row r="2681" spans="1:19" x14ac:dyDescent="0.25">
      <c r="A2681" s="1">
        <v>0.76600744212962968</v>
      </c>
      <c r="B2681" s="145" t="s">
        <v>165</v>
      </c>
      <c r="C2681">
        <v>2680</v>
      </c>
      <c r="D2681">
        <v>1</v>
      </c>
      <c r="E2681">
        <v>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1</v>
      </c>
      <c r="N2681">
        <v>1</v>
      </c>
      <c r="O2681">
        <v>1</v>
      </c>
      <c r="P2681">
        <v>1</v>
      </c>
      <c r="Q2681">
        <v>1</v>
      </c>
      <c r="R2681">
        <v>1</v>
      </c>
      <c r="S2681">
        <v>1</v>
      </c>
    </row>
    <row r="2682" spans="1:19" x14ac:dyDescent="0.25">
      <c r="A2682" s="1">
        <v>0.76600755787037034</v>
      </c>
      <c r="B2682" s="145" t="s">
        <v>2</v>
      </c>
      <c r="C2682">
        <v>2681</v>
      </c>
      <c r="D2682">
        <v>0</v>
      </c>
      <c r="E2682">
        <v>1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1</v>
      </c>
      <c r="M2682">
        <v>1</v>
      </c>
      <c r="N2682">
        <v>1</v>
      </c>
      <c r="O2682">
        <v>1</v>
      </c>
      <c r="P2682">
        <v>1</v>
      </c>
      <c r="Q2682">
        <v>1</v>
      </c>
      <c r="R2682">
        <v>1</v>
      </c>
      <c r="S2682">
        <v>1</v>
      </c>
    </row>
    <row r="2683" spans="1:19" x14ac:dyDescent="0.25">
      <c r="A2683" s="1">
        <v>0.76600767361111111</v>
      </c>
      <c r="B2683" s="145" t="s">
        <v>2</v>
      </c>
      <c r="C2683">
        <v>2682</v>
      </c>
      <c r="D2683">
        <v>0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1</v>
      </c>
      <c r="M2683">
        <v>1</v>
      </c>
      <c r="N2683">
        <v>1</v>
      </c>
      <c r="O2683">
        <v>1</v>
      </c>
      <c r="P2683">
        <v>1</v>
      </c>
      <c r="Q2683">
        <v>1</v>
      </c>
      <c r="R2683">
        <v>1</v>
      </c>
      <c r="S2683">
        <v>1</v>
      </c>
    </row>
    <row r="2684" spans="1:19" x14ac:dyDescent="0.25">
      <c r="A2684" s="1">
        <v>0.76600778935185188</v>
      </c>
      <c r="B2684" s="145" t="s">
        <v>165</v>
      </c>
      <c r="C2684">
        <v>2683</v>
      </c>
      <c r="D2684">
        <v>1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1</v>
      </c>
      <c r="M2684">
        <v>1</v>
      </c>
      <c r="N2684">
        <v>1</v>
      </c>
      <c r="O2684">
        <v>1</v>
      </c>
      <c r="P2684">
        <v>1</v>
      </c>
      <c r="Q2684">
        <v>1</v>
      </c>
      <c r="R2684">
        <v>1</v>
      </c>
      <c r="S2684">
        <v>1</v>
      </c>
    </row>
    <row r="2685" spans="1:19" x14ac:dyDescent="0.25">
      <c r="A2685" s="1">
        <v>0.76600790509259264</v>
      </c>
      <c r="B2685" s="145" t="s">
        <v>165</v>
      </c>
      <c r="C2685">
        <v>2684</v>
      </c>
      <c r="D2685">
        <v>1</v>
      </c>
      <c r="E2685">
        <v>1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1</v>
      </c>
      <c r="N2685">
        <v>1</v>
      </c>
      <c r="O2685">
        <v>1</v>
      </c>
      <c r="P2685">
        <v>1</v>
      </c>
      <c r="Q2685">
        <v>1</v>
      </c>
      <c r="R2685">
        <v>1</v>
      </c>
      <c r="S2685">
        <v>1</v>
      </c>
    </row>
    <row r="2686" spans="1:19" x14ac:dyDescent="0.25">
      <c r="A2686" s="1">
        <v>0.7660080208333333</v>
      </c>
      <c r="B2686" s="145" t="s">
        <v>165</v>
      </c>
      <c r="C2686">
        <v>2685</v>
      </c>
      <c r="D2686">
        <v>1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1</v>
      </c>
      <c r="M2686">
        <v>1</v>
      </c>
      <c r="N2686">
        <v>1</v>
      </c>
      <c r="O2686">
        <v>1</v>
      </c>
      <c r="P2686">
        <v>1</v>
      </c>
      <c r="Q2686">
        <v>1</v>
      </c>
      <c r="R2686">
        <v>1</v>
      </c>
      <c r="S2686">
        <v>1</v>
      </c>
    </row>
    <row r="2687" spans="1:19" x14ac:dyDescent="0.25">
      <c r="A2687" s="1">
        <v>0.76600813657407407</v>
      </c>
      <c r="B2687" s="145" t="s">
        <v>165</v>
      </c>
      <c r="C2687">
        <v>2686</v>
      </c>
      <c r="D2687">
        <v>1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1</v>
      </c>
      <c r="M2687">
        <v>1</v>
      </c>
      <c r="N2687">
        <v>1</v>
      </c>
      <c r="O2687">
        <v>1</v>
      </c>
      <c r="P2687">
        <v>1</v>
      </c>
      <c r="Q2687">
        <v>1</v>
      </c>
      <c r="R2687">
        <v>1</v>
      </c>
      <c r="S2687">
        <v>1</v>
      </c>
    </row>
    <row r="2688" spans="1:19" x14ac:dyDescent="0.25">
      <c r="A2688" s="1">
        <v>0.76600825231481484</v>
      </c>
      <c r="B2688" s="145" t="s">
        <v>2</v>
      </c>
      <c r="C2688">
        <v>2687</v>
      </c>
      <c r="D2688">
        <v>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1</v>
      </c>
      <c r="M2688">
        <v>1</v>
      </c>
      <c r="N2688">
        <v>1</v>
      </c>
      <c r="O2688">
        <v>1</v>
      </c>
      <c r="P2688">
        <v>1</v>
      </c>
      <c r="Q2688">
        <v>1</v>
      </c>
      <c r="R2688">
        <v>1</v>
      </c>
      <c r="S2688">
        <v>1</v>
      </c>
    </row>
    <row r="2689" spans="1:19" x14ac:dyDescent="0.25">
      <c r="A2689" s="1">
        <v>0.76600836805555561</v>
      </c>
      <c r="B2689" s="145" t="s">
        <v>2</v>
      </c>
      <c r="C2689">
        <v>2688</v>
      </c>
      <c r="D2689">
        <v>0</v>
      </c>
      <c r="E2689">
        <v>1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1</v>
      </c>
      <c r="N2689">
        <v>1</v>
      </c>
      <c r="O2689">
        <v>1</v>
      </c>
      <c r="P2689">
        <v>1</v>
      </c>
      <c r="Q2689">
        <v>1</v>
      </c>
      <c r="R2689">
        <v>1</v>
      </c>
      <c r="S2689">
        <v>1</v>
      </c>
    </row>
    <row r="2690" spans="1:19" x14ac:dyDescent="0.25">
      <c r="A2690" s="1">
        <v>0.76600848379629627</v>
      </c>
      <c r="B2690" s="145" t="s">
        <v>165</v>
      </c>
      <c r="C2690">
        <v>2689</v>
      </c>
      <c r="D2690">
        <v>1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1</v>
      </c>
      <c r="N2690">
        <v>1</v>
      </c>
      <c r="O2690">
        <v>1</v>
      </c>
      <c r="P2690">
        <v>1</v>
      </c>
      <c r="Q2690">
        <v>1</v>
      </c>
      <c r="R2690">
        <v>1</v>
      </c>
      <c r="S2690">
        <v>1</v>
      </c>
    </row>
    <row r="2691" spans="1:19" x14ac:dyDescent="0.25">
      <c r="A2691" s="1">
        <v>0.76600859953703704</v>
      </c>
      <c r="B2691" s="145" t="s">
        <v>165</v>
      </c>
      <c r="C2691">
        <v>2690</v>
      </c>
      <c r="D2691">
        <v>1</v>
      </c>
      <c r="E2691">
        <v>1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1</v>
      </c>
      <c r="M2691">
        <v>1</v>
      </c>
      <c r="N2691">
        <v>1</v>
      </c>
      <c r="O2691">
        <v>1</v>
      </c>
      <c r="P2691">
        <v>1</v>
      </c>
      <c r="Q2691">
        <v>1</v>
      </c>
      <c r="R2691">
        <v>1</v>
      </c>
      <c r="S2691">
        <v>1</v>
      </c>
    </row>
    <row r="2692" spans="1:19" x14ac:dyDescent="0.25">
      <c r="A2692" s="1">
        <v>0.76600871527777781</v>
      </c>
      <c r="B2692" s="145" t="s">
        <v>165</v>
      </c>
      <c r="C2692">
        <v>2691</v>
      </c>
      <c r="D2692">
        <v>1</v>
      </c>
      <c r="E2692">
        <v>1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1</v>
      </c>
      <c r="N2692">
        <v>1</v>
      </c>
      <c r="O2692">
        <v>1</v>
      </c>
      <c r="P2692">
        <v>1</v>
      </c>
      <c r="Q2692">
        <v>1</v>
      </c>
      <c r="R2692">
        <v>1</v>
      </c>
      <c r="S2692">
        <v>1</v>
      </c>
    </row>
    <row r="2693" spans="1:19" x14ac:dyDescent="0.25">
      <c r="A2693" s="1">
        <v>0.76600883101851847</v>
      </c>
      <c r="B2693" s="145" t="s">
        <v>165</v>
      </c>
      <c r="C2693">
        <v>2692</v>
      </c>
      <c r="D2693">
        <v>1</v>
      </c>
      <c r="E2693">
        <v>1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1</v>
      </c>
      <c r="O2693">
        <v>1</v>
      </c>
      <c r="P2693">
        <v>1</v>
      </c>
      <c r="Q2693">
        <v>1</v>
      </c>
      <c r="R2693">
        <v>1</v>
      </c>
      <c r="S2693">
        <v>1</v>
      </c>
    </row>
    <row r="2694" spans="1:19" x14ac:dyDescent="0.25">
      <c r="A2694" s="1">
        <v>0.76600894675925923</v>
      </c>
      <c r="B2694" s="145" t="s">
        <v>2</v>
      </c>
      <c r="C2694">
        <v>2693</v>
      </c>
      <c r="D2694">
        <v>0</v>
      </c>
      <c r="E2694">
        <v>1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1</v>
      </c>
      <c r="M2694">
        <v>1</v>
      </c>
      <c r="N2694">
        <v>1</v>
      </c>
      <c r="O2694">
        <v>1</v>
      </c>
      <c r="P2694">
        <v>1</v>
      </c>
      <c r="Q2694">
        <v>1</v>
      </c>
      <c r="R2694">
        <v>1</v>
      </c>
      <c r="S2694">
        <v>1</v>
      </c>
    </row>
    <row r="2695" spans="1:19" x14ac:dyDescent="0.25">
      <c r="A2695" s="1">
        <v>0.7660090625</v>
      </c>
      <c r="B2695" s="145" t="s">
        <v>2</v>
      </c>
      <c r="C2695">
        <v>2694</v>
      </c>
      <c r="D2695">
        <v>0</v>
      </c>
      <c r="E2695">
        <v>1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1</v>
      </c>
      <c r="M2695">
        <v>1</v>
      </c>
      <c r="N2695">
        <v>1</v>
      </c>
      <c r="O2695">
        <v>1</v>
      </c>
      <c r="P2695">
        <v>1</v>
      </c>
      <c r="Q2695">
        <v>1</v>
      </c>
      <c r="R2695">
        <v>1</v>
      </c>
      <c r="S2695">
        <v>1</v>
      </c>
    </row>
    <row r="2696" spans="1:19" x14ac:dyDescent="0.25">
      <c r="A2696" s="1">
        <v>0.76600917824074077</v>
      </c>
      <c r="B2696" s="145" t="s">
        <v>165</v>
      </c>
      <c r="C2696">
        <v>2695</v>
      </c>
      <c r="D2696">
        <v>1</v>
      </c>
      <c r="E2696">
        <v>1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1</v>
      </c>
      <c r="N2696">
        <v>1</v>
      </c>
      <c r="O2696">
        <v>1</v>
      </c>
      <c r="P2696">
        <v>1</v>
      </c>
      <c r="Q2696">
        <v>1</v>
      </c>
      <c r="R2696">
        <v>1</v>
      </c>
      <c r="S2696">
        <v>1</v>
      </c>
    </row>
    <row r="2697" spans="1:19" x14ac:dyDescent="0.25">
      <c r="A2697" s="1">
        <v>0.76600929398148143</v>
      </c>
      <c r="B2697" s="145" t="s">
        <v>165</v>
      </c>
      <c r="C2697">
        <v>2696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1</v>
      </c>
      <c r="N2697">
        <v>1</v>
      </c>
      <c r="O2697">
        <v>1</v>
      </c>
      <c r="P2697">
        <v>1</v>
      </c>
      <c r="Q2697">
        <v>1</v>
      </c>
      <c r="R2697">
        <v>1</v>
      </c>
      <c r="S2697">
        <v>1</v>
      </c>
    </row>
    <row r="2698" spans="1:19" x14ac:dyDescent="0.25">
      <c r="A2698" s="1">
        <v>0.7660094097222222</v>
      </c>
      <c r="B2698" s="145" t="s">
        <v>165</v>
      </c>
      <c r="C2698">
        <v>2697</v>
      </c>
      <c r="D2698">
        <v>1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1</v>
      </c>
      <c r="M2698">
        <v>1</v>
      </c>
      <c r="N2698">
        <v>1</v>
      </c>
      <c r="O2698">
        <v>1</v>
      </c>
      <c r="P2698">
        <v>1</v>
      </c>
      <c r="Q2698">
        <v>1</v>
      </c>
      <c r="R2698">
        <v>1</v>
      </c>
      <c r="S2698">
        <v>1</v>
      </c>
    </row>
    <row r="2699" spans="1:19" x14ac:dyDescent="0.25">
      <c r="A2699" s="1">
        <v>0.76600952546296297</v>
      </c>
      <c r="B2699" s="145" t="s">
        <v>165</v>
      </c>
      <c r="C2699">
        <v>2698</v>
      </c>
      <c r="D2699">
        <v>1</v>
      </c>
      <c r="E2699">
        <v>1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1</v>
      </c>
      <c r="O2699">
        <v>1</v>
      </c>
      <c r="P2699">
        <v>1</v>
      </c>
      <c r="Q2699">
        <v>1</v>
      </c>
      <c r="R2699">
        <v>1</v>
      </c>
      <c r="S2699">
        <v>1</v>
      </c>
    </row>
    <row r="2700" spans="1:19" x14ac:dyDescent="0.25">
      <c r="A2700" s="1">
        <v>0.7660096296296296</v>
      </c>
      <c r="B2700" s="145" t="s">
        <v>2</v>
      </c>
      <c r="C2700">
        <v>2699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1</v>
      </c>
      <c r="N2700">
        <v>1</v>
      </c>
      <c r="O2700">
        <v>1</v>
      </c>
      <c r="P2700">
        <v>1</v>
      </c>
      <c r="Q2700">
        <v>1</v>
      </c>
      <c r="R2700">
        <v>1</v>
      </c>
      <c r="S2700">
        <v>1</v>
      </c>
    </row>
    <row r="2701" spans="1:19" x14ac:dyDescent="0.25">
      <c r="A2701" s="1">
        <v>0.76600974537037037</v>
      </c>
      <c r="B2701" s="145" t="s">
        <v>2</v>
      </c>
      <c r="C2701">
        <v>2700</v>
      </c>
      <c r="D2701">
        <v>0</v>
      </c>
      <c r="E2701">
        <v>1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1</v>
      </c>
      <c r="O2701">
        <v>1</v>
      </c>
      <c r="P2701">
        <v>1</v>
      </c>
      <c r="Q2701">
        <v>1</v>
      </c>
      <c r="R2701">
        <v>1</v>
      </c>
      <c r="S2701">
        <v>1</v>
      </c>
    </row>
    <row r="2702" spans="1:19" x14ac:dyDescent="0.25">
      <c r="A2702" s="1">
        <v>0.76600986111111113</v>
      </c>
      <c r="B2702" s="145" t="s">
        <v>165</v>
      </c>
      <c r="C2702">
        <v>2701</v>
      </c>
      <c r="D2702">
        <v>1</v>
      </c>
      <c r="E2702">
        <v>1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1</v>
      </c>
      <c r="N2702">
        <v>1</v>
      </c>
      <c r="O2702">
        <v>1</v>
      </c>
      <c r="P2702">
        <v>1</v>
      </c>
      <c r="Q2702">
        <v>1</v>
      </c>
      <c r="R2702">
        <v>1</v>
      </c>
      <c r="S2702">
        <v>1</v>
      </c>
    </row>
    <row r="2703" spans="1:19" x14ac:dyDescent="0.25">
      <c r="A2703" s="1">
        <v>0.7660099768518519</v>
      </c>
      <c r="B2703" s="145" t="s">
        <v>165</v>
      </c>
      <c r="C2703">
        <v>2702</v>
      </c>
      <c r="D2703">
        <v>1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1</v>
      </c>
      <c r="M2703">
        <v>1</v>
      </c>
      <c r="N2703">
        <v>1</v>
      </c>
      <c r="O2703">
        <v>1</v>
      </c>
      <c r="P2703">
        <v>1</v>
      </c>
      <c r="Q2703">
        <v>1</v>
      </c>
      <c r="R2703">
        <v>1</v>
      </c>
      <c r="S2703">
        <v>1</v>
      </c>
    </row>
    <row r="2704" spans="1:19" x14ac:dyDescent="0.25">
      <c r="A2704" s="1">
        <v>0.76601009259259256</v>
      </c>
      <c r="B2704" s="145" t="s">
        <v>165</v>
      </c>
      <c r="C2704">
        <v>2703</v>
      </c>
      <c r="D2704">
        <v>1</v>
      </c>
      <c r="E2704">
        <v>1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1</v>
      </c>
      <c r="N2704">
        <v>1</v>
      </c>
      <c r="O2704">
        <v>1</v>
      </c>
      <c r="P2704">
        <v>1</v>
      </c>
      <c r="Q2704">
        <v>1</v>
      </c>
      <c r="R2704">
        <v>1</v>
      </c>
      <c r="S2704">
        <v>1</v>
      </c>
    </row>
    <row r="2705" spans="1:19" x14ac:dyDescent="0.25">
      <c r="A2705" s="1">
        <v>0.76601020833333333</v>
      </c>
      <c r="B2705" s="145" t="s">
        <v>165</v>
      </c>
      <c r="C2705">
        <v>2704</v>
      </c>
      <c r="D2705">
        <v>1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1</v>
      </c>
      <c r="N2705">
        <v>1</v>
      </c>
      <c r="O2705">
        <v>1</v>
      </c>
      <c r="P2705">
        <v>1</v>
      </c>
      <c r="Q2705">
        <v>1</v>
      </c>
      <c r="R2705">
        <v>1</v>
      </c>
      <c r="S2705">
        <v>1</v>
      </c>
    </row>
    <row r="2706" spans="1:19" x14ac:dyDescent="0.25">
      <c r="A2706" s="1">
        <v>0.7660103240740741</v>
      </c>
      <c r="B2706" s="145" t="s">
        <v>2</v>
      </c>
      <c r="C2706">
        <v>2705</v>
      </c>
      <c r="D2706">
        <v>0</v>
      </c>
      <c r="E2706">
        <v>1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</row>
    <row r="2707" spans="1:19" x14ac:dyDescent="0.25">
      <c r="A2707" s="1">
        <v>0.76601043981481487</v>
      </c>
      <c r="B2707" s="145" t="s">
        <v>2</v>
      </c>
      <c r="C2707">
        <v>2706</v>
      </c>
      <c r="D2707">
        <v>0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1</v>
      </c>
      <c r="O2707">
        <v>1</v>
      </c>
      <c r="P2707">
        <v>1</v>
      </c>
      <c r="Q2707">
        <v>1</v>
      </c>
      <c r="R2707">
        <v>1</v>
      </c>
      <c r="S2707">
        <v>1</v>
      </c>
    </row>
    <row r="2708" spans="1:19" x14ac:dyDescent="0.25">
      <c r="A2708" s="1">
        <v>0.76601055555555553</v>
      </c>
      <c r="B2708" s="145" t="s">
        <v>165</v>
      </c>
      <c r="C2708">
        <v>2707</v>
      </c>
      <c r="D2708">
        <v>1</v>
      </c>
      <c r="E2708">
        <v>1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1</v>
      </c>
      <c r="M2708">
        <v>1</v>
      </c>
      <c r="N2708">
        <v>1</v>
      </c>
      <c r="O2708">
        <v>1</v>
      </c>
      <c r="P2708">
        <v>1</v>
      </c>
      <c r="Q2708">
        <v>1</v>
      </c>
      <c r="R2708">
        <v>1</v>
      </c>
      <c r="S2708">
        <v>1</v>
      </c>
    </row>
    <row r="2709" spans="1:19" x14ac:dyDescent="0.25">
      <c r="A2709" s="1">
        <v>0.7660106712962963</v>
      </c>
      <c r="B2709" s="145" t="s">
        <v>165</v>
      </c>
      <c r="C2709">
        <v>2708</v>
      </c>
      <c r="D2709">
        <v>1</v>
      </c>
      <c r="E2709">
        <v>1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1</v>
      </c>
      <c r="M2709">
        <v>1</v>
      </c>
      <c r="N2709">
        <v>1</v>
      </c>
      <c r="O2709">
        <v>1</v>
      </c>
      <c r="P2709">
        <v>1</v>
      </c>
      <c r="Q2709">
        <v>1</v>
      </c>
      <c r="R2709">
        <v>1</v>
      </c>
      <c r="S2709">
        <v>1</v>
      </c>
    </row>
    <row r="2710" spans="1:19" x14ac:dyDescent="0.25">
      <c r="A2710" s="1">
        <v>0.76601078703703707</v>
      </c>
      <c r="B2710" s="145" t="s">
        <v>165</v>
      </c>
      <c r="C2710">
        <v>2709</v>
      </c>
      <c r="D2710">
        <v>1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1</v>
      </c>
      <c r="N2710">
        <v>1</v>
      </c>
      <c r="O2710">
        <v>1</v>
      </c>
      <c r="P2710">
        <v>1</v>
      </c>
      <c r="Q2710">
        <v>1</v>
      </c>
      <c r="R2710">
        <v>1</v>
      </c>
      <c r="S2710">
        <v>1</v>
      </c>
    </row>
    <row r="2711" spans="1:19" x14ac:dyDescent="0.25">
      <c r="A2711" s="1">
        <v>0.76601090277777772</v>
      </c>
      <c r="B2711" s="145" t="s">
        <v>165</v>
      </c>
      <c r="C2711">
        <v>2710</v>
      </c>
      <c r="D2711">
        <v>1</v>
      </c>
      <c r="E2711">
        <v>1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1</v>
      </c>
      <c r="N2711">
        <v>1</v>
      </c>
      <c r="O2711">
        <v>1</v>
      </c>
      <c r="P2711">
        <v>1</v>
      </c>
      <c r="Q2711">
        <v>1</v>
      </c>
      <c r="R2711">
        <v>1</v>
      </c>
      <c r="S2711">
        <v>1</v>
      </c>
    </row>
    <row r="2712" spans="1:19" x14ac:dyDescent="0.25">
      <c r="A2712" s="1">
        <v>0.76601101851851849</v>
      </c>
      <c r="B2712" s="145" t="s">
        <v>2</v>
      </c>
      <c r="C2712">
        <v>2711</v>
      </c>
      <c r="D2712">
        <v>0</v>
      </c>
      <c r="E2712">
        <v>1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1</v>
      </c>
      <c r="N2712">
        <v>1</v>
      </c>
      <c r="O2712">
        <v>1</v>
      </c>
      <c r="P2712">
        <v>1</v>
      </c>
      <c r="Q2712">
        <v>1</v>
      </c>
      <c r="R2712">
        <v>1</v>
      </c>
      <c r="S2712">
        <v>1</v>
      </c>
    </row>
    <row r="2713" spans="1:19" x14ac:dyDescent="0.25">
      <c r="A2713" s="1">
        <v>0.76601113425925926</v>
      </c>
      <c r="B2713" s="145" t="s">
        <v>2</v>
      </c>
      <c r="C2713">
        <v>2712</v>
      </c>
      <c r="D2713">
        <v>0</v>
      </c>
      <c r="E2713">
        <v>1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1</v>
      </c>
      <c r="M2713">
        <v>1</v>
      </c>
      <c r="N2713">
        <v>1</v>
      </c>
      <c r="O2713">
        <v>1</v>
      </c>
      <c r="P2713">
        <v>1</v>
      </c>
      <c r="Q2713">
        <v>1</v>
      </c>
      <c r="R2713">
        <v>1</v>
      </c>
      <c r="S2713">
        <v>1</v>
      </c>
    </row>
    <row r="2714" spans="1:19" x14ac:dyDescent="0.25">
      <c r="A2714" s="1">
        <v>0.76601125000000003</v>
      </c>
      <c r="B2714" s="145" t="s">
        <v>165</v>
      </c>
      <c r="C2714">
        <v>2713</v>
      </c>
      <c r="D2714">
        <v>1</v>
      </c>
      <c r="E2714">
        <v>1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1</v>
      </c>
      <c r="M2714">
        <v>1</v>
      </c>
      <c r="N2714">
        <v>1</v>
      </c>
      <c r="O2714">
        <v>1</v>
      </c>
      <c r="P2714">
        <v>1</v>
      </c>
      <c r="Q2714">
        <v>1</v>
      </c>
      <c r="R2714">
        <v>1</v>
      </c>
      <c r="S2714">
        <v>1</v>
      </c>
    </row>
    <row r="2715" spans="1:19" x14ac:dyDescent="0.25">
      <c r="A2715" s="1">
        <v>0.76601136574074069</v>
      </c>
      <c r="B2715" s="145" t="s">
        <v>165</v>
      </c>
      <c r="C2715">
        <v>2714</v>
      </c>
      <c r="D2715">
        <v>1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1</v>
      </c>
      <c r="N2715">
        <v>1</v>
      </c>
      <c r="O2715">
        <v>1</v>
      </c>
      <c r="P2715">
        <v>1</v>
      </c>
      <c r="Q2715">
        <v>1</v>
      </c>
      <c r="R2715">
        <v>1</v>
      </c>
      <c r="S2715">
        <v>1</v>
      </c>
    </row>
    <row r="2716" spans="1:19" x14ac:dyDescent="0.25">
      <c r="A2716" s="1">
        <v>0.76601148148148146</v>
      </c>
      <c r="B2716" s="145" t="s">
        <v>165</v>
      </c>
      <c r="C2716">
        <v>2715</v>
      </c>
      <c r="D2716">
        <v>1</v>
      </c>
      <c r="E2716">
        <v>1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1</v>
      </c>
      <c r="O2716">
        <v>1</v>
      </c>
      <c r="P2716">
        <v>1</v>
      </c>
      <c r="Q2716">
        <v>1</v>
      </c>
      <c r="R2716">
        <v>1</v>
      </c>
      <c r="S2716">
        <v>1</v>
      </c>
    </row>
    <row r="2717" spans="1:19" x14ac:dyDescent="0.25">
      <c r="A2717" s="1">
        <v>0.76601159722222223</v>
      </c>
      <c r="B2717" s="145" t="s">
        <v>165</v>
      </c>
      <c r="C2717">
        <v>2716</v>
      </c>
      <c r="D2717">
        <v>1</v>
      </c>
      <c r="E2717">
        <v>1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1</v>
      </c>
      <c r="M2717">
        <v>1</v>
      </c>
      <c r="N2717">
        <v>1</v>
      </c>
      <c r="O2717">
        <v>1</v>
      </c>
      <c r="P2717">
        <v>1</v>
      </c>
      <c r="Q2717">
        <v>1</v>
      </c>
      <c r="R2717">
        <v>1</v>
      </c>
      <c r="S2717">
        <v>1</v>
      </c>
    </row>
    <row r="2718" spans="1:19" x14ac:dyDescent="0.25">
      <c r="A2718" s="1">
        <v>0.766011712962963</v>
      </c>
      <c r="B2718" s="145" t="s">
        <v>2</v>
      </c>
      <c r="C2718">
        <v>2717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1</v>
      </c>
      <c r="N2718">
        <v>1</v>
      </c>
      <c r="O2718">
        <v>1</v>
      </c>
      <c r="P2718">
        <v>1</v>
      </c>
      <c r="Q2718">
        <v>1</v>
      </c>
      <c r="R2718">
        <v>1</v>
      </c>
      <c r="S2718">
        <v>1</v>
      </c>
    </row>
    <row r="2719" spans="1:19" x14ac:dyDescent="0.25">
      <c r="A2719" s="1">
        <v>0.76601182870370366</v>
      </c>
      <c r="B2719" s="145" t="s">
        <v>2</v>
      </c>
      <c r="C2719">
        <v>2718</v>
      </c>
      <c r="D2719">
        <v>0</v>
      </c>
      <c r="E2719">
        <v>1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1</v>
      </c>
    </row>
    <row r="2720" spans="1:19" x14ac:dyDescent="0.25">
      <c r="A2720" s="1">
        <v>0.76601194444444443</v>
      </c>
      <c r="B2720" s="145" t="s">
        <v>165</v>
      </c>
      <c r="C2720">
        <v>2719</v>
      </c>
      <c r="D2720">
        <v>1</v>
      </c>
      <c r="E2720">
        <v>1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1</v>
      </c>
      <c r="M2720">
        <v>1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</row>
    <row r="2721" spans="1:19" x14ac:dyDescent="0.25">
      <c r="A2721" s="1">
        <v>0.7660120601851852</v>
      </c>
      <c r="B2721" s="145" t="s">
        <v>165</v>
      </c>
      <c r="C2721">
        <v>2720</v>
      </c>
      <c r="D2721">
        <v>1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</row>
    <row r="2722" spans="1:19" x14ac:dyDescent="0.25">
      <c r="A2722" s="1">
        <v>0.76601217592592596</v>
      </c>
      <c r="B2722" s="145" t="s">
        <v>165</v>
      </c>
      <c r="C2722">
        <v>2721</v>
      </c>
      <c r="D2722">
        <v>1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1</v>
      </c>
      <c r="M2722">
        <v>1</v>
      </c>
      <c r="N2722">
        <v>1</v>
      </c>
      <c r="O2722">
        <v>1</v>
      </c>
      <c r="P2722">
        <v>1</v>
      </c>
      <c r="Q2722">
        <v>1</v>
      </c>
      <c r="R2722">
        <v>1</v>
      </c>
      <c r="S2722">
        <v>1</v>
      </c>
    </row>
    <row r="2723" spans="1:19" x14ac:dyDescent="0.25">
      <c r="A2723" s="1">
        <v>0.76601229166666662</v>
      </c>
      <c r="B2723" s="145" t="s">
        <v>165</v>
      </c>
      <c r="C2723">
        <v>2722</v>
      </c>
      <c r="D2723">
        <v>1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</row>
    <row r="2724" spans="1:19" x14ac:dyDescent="0.25">
      <c r="A2724" s="1">
        <v>0.76601240740740739</v>
      </c>
      <c r="B2724" s="145" t="s">
        <v>2</v>
      </c>
      <c r="C2724">
        <v>2723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1</v>
      </c>
      <c r="M2724">
        <v>1</v>
      </c>
      <c r="N2724">
        <v>1</v>
      </c>
      <c r="O2724">
        <v>1</v>
      </c>
      <c r="P2724">
        <v>1</v>
      </c>
      <c r="Q2724">
        <v>1</v>
      </c>
      <c r="R2724">
        <v>1</v>
      </c>
      <c r="S2724">
        <v>1</v>
      </c>
    </row>
    <row r="2725" spans="1:19" x14ac:dyDescent="0.25">
      <c r="A2725" s="1">
        <v>0.76601252314814816</v>
      </c>
      <c r="B2725" s="145" t="s">
        <v>2</v>
      </c>
      <c r="C2725">
        <v>2724</v>
      </c>
      <c r="D2725">
        <v>0</v>
      </c>
      <c r="E2725">
        <v>1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1</v>
      </c>
      <c r="N2725">
        <v>1</v>
      </c>
      <c r="O2725">
        <v>1</v>
      </c>
      <c r="P2725">
        <v>1</v>
      </c>
      <c r="Q2725">
        <v>1</v>
      </c>
      <c r="R2725">
        <v>1</v>
      </c>
      <c r="S2725">
        <v>1</v>
      </c>
    </row>
    <row r="2726" spans="1:19" x14ac:dyDescent="0.25">
      <c r="A2726" s="1">
        <v>0.76601263888888893</v>
      </c>
      <c r="B2726" s="145" t="s">
        <v>165</v>
      </c>
      <c r="C2726">
        <v>2725</v>
      </c>
      <c r="D2726">
        <v>1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1</v>
      </c>
      <c r="M2726">
        <v>1</v>
      </c>
      <c r="N2726">
        <v>1</v>
      </c>
      <c r="O2726">
        <v>1</v>
      </c>
      <c r="P2726">
        <v>1</v>
      </c>
      <c r="Q2726">
        <v>1</v>
      </c>
      <c r="R2726">
        <v>1</v>
      </c>
      <c r="S2726">
        <v>1</v>
      </c>
    </row>
    <row r="2727" spans="1:19" x14ac:dyDescent="0.25">
      <c r="A2727" s="1">
        <v>0.76601275462962959</v>
      </c>
      <c r="B2727" s="145" t="s">
        <v>165</v>
      </c>
      <c r="C2727">
        <v>2726</v>
      </c>
      <c r="D2727">
        <v>1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1</v>
      </c>
      <c r="N2727">
        <v>1</v>
      </c>
      <c r="O2727">
        <v>1</v>
      </c>
      <c r="P2727">
        <v>1</v>
      </c>
      <c r="Q2727">
        <v>1</v>
      </c>
      <c r="R2727">
        <v>1</v>
      </c>
      <c r="S2727">
        <v>1</v>
      </c>
    </row>
    <row r="2728" spans="1:19" x14ac:dyDescent="0.25">
      <c r="A2728" s="1">
        <v>0.76601287037037036</v>
      </c>
      <c r="B2728" s="145" t="s">
        <v>165</v>
      </c>
      <c r="C2728">
        <v>2727</v>
      </c>
      <c r="D2728">
        <v>1</v>
      </c>
      <c r="E2728">
        <v>1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1</v>
      </c>
      <c r="N2728">
        <v>1</v>
      </c>
      <c r="O2728">
        <v>1</v>
      </c>
      <c r="P2728">
        <v>1</v>
      </c>
      <c r="Q2728">
        <v>1</v>
      </c>
      <c r="R2728">
        <v>1</v>
      </c>
      <c r="S2728">
        <v>1</v>
      </c>
    </row>
    <row r="2729" spans="1:19" x14ac:dyDescent="0.25">
      <c r="A2729" s="1">
        <v>0.76601298611111113</v>
      </c>
      <c r="B2729" s="145" t="s">
        <v>165</v>
      </c>
      <c r="C2729">
        <v>2728</v>
      </c>
      <c r="D2729">
        <v>1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1</v>
      </c>
      <c r="N2729">
        <v>1</v>
      </c>
      <c r="O2729">
        <v>1</v>
      </c>
      <c r="P2729">
        <v>1</v>
      </c>
      <c r="Q2729">
        <v>1</v>
      </c>
      <c r="R2729">
        <v>1</v>
      </c>
      <c r="S2729">
        <v>1</v>
      </c>
    </row>
    <row r="2730" spans="1:19" x14ac:dyDescent="0.25">
      <c r="A2730" s="1">
        <v>0.7660131018518519</v>
      </c>
      <c r="B2730" s="145" t="s">
        <v>2</v>
      </c>
      <c r="C2730">
        <v>2729</v>
      </c>
      <c r="D2730">
        <v>0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1</v>
      </c>
      <c r="N2730">
        <v>1</v>
      </c>
      <c r="O2730">
        <v>1</v>
      </c>
      <c r="P2730">
        <v>1</v>
      </c>
      <c r="Q2730">
        <v>1</v>
      </c>
      <c r="R2730">
        <v>1</v>
      </c>
      <c r="S2730">
        <v>1</v>
      </c>
    </row>
    <row r="2731" spans="1:19" x14ac:dyDescent="0.25">
      <c r="A2731" s="1">
        <v>0.76601321759259255</v>
      </c>
      <c r="B2731" s="145" t="s">
        <v>2</v>
      </c>
      <c r="C2731">
        <v>2730</v>
      </c>
      <c r="D2731">
        <v>0</v>
      </c>
      <c r="E2731">
        <v>1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1</v>
      </c>
      <c r="N2731">
        <v>1</v>
      </c>
      <c r="O2731">
        <v>1</v>
      </c>
      <c r="P2731">
        <v>1</v>
      </c>
      <c r="Q2731">
        <v>1</v>
      </c>
      <c r="R2731">
        <v>1</v>
      </c>
      <c r="S2731">
        <v>1</v>
      </c>
    </row>
    <row r="2732" spans="1:19" x14ac:dyDescent="0.25">
      <c r="A2732" s="1">
        <v>0.76601333333333332</v>
      </c>
      <c r="B2732" s="145" t="s">
        <v>165</v>
      </c>
      <c r="C2732">
        <v>2731</v>
      </c>
      <c r="D2732">
        <v>1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1</v>
      </c>
      <c r="M2732">
        <v>1</v>
      </c>
      <c r="N2732">
        <v>1</v>
      </c>
      <c r="O2732">
        <v>1</v>
      </c>
      <c r="P2732">
        <v>1</v>
      </c>
      <c r="Q2732">
        <v>1</v>
      </c>
      <c r="R2732">
        <v>1</v>
      </c>
      <c r="S2732">
        <v>1</v>
      </c>
    </row>
    <row r="2733" spans="1:19" x14ac:dyDescent="0.25">
      <c r="A2733" s="1">
        <v>0.76601344907407409</v>
      </c>
      <c r="B2733" s="145" t="s">
        <v>165</v>
      </c>
      <c r="C2733">
        <v>2732</v>
      </c>
      <c r="D2733">
        <v>1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1</v>
      </c>
      <c r="M2733">
        <v>1</v>
      </c>
      <c r="N2733">
        <v>1</v>
      </c>
      <c r="O2733">
        <v>1</v>
      </c>
      <c r="P2733">
        <v>1</v>
      </c>
      <c r="Q2733">
        <v>1</v>
      </c>
      <c r="R2733">
        <v>1</v>
      </c>
      <c r="S2733">
        <v>1</v>
      </c>
    </row>
    <row r="2734" spans="1:19" x14ac:dyDescent="0.25">
      <c r="A2734" s="1">
        <v>0.76601356481481486</v>
      </c>
      <c r="B2734" s="145" t="s">
        <v>165</v>
      </c>
      <c r="C2734">
        <v>2733</v>
      </c>
      <c r="D2734">
        <v>1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1</v>
      </c>
      <c r="M2734">
        <v>1</v>
      </c>
      <c r="N2734">
        <v>1</v>
      </c>
      <c r="O2734">
        <v>1</v>
      </c>
      <c r="P2734">
        <v>1</v>
      </c>
      <c r="Q2734">
        <v>1</v>
      </c>
      <c r="R2734">
        <v>1</v>
      </c>
      <c r="S2734">
        <v>1</v>
      </c>
    </row>
    <row r="2735" spans="1:19" x14ac:dyDescent="0.25">
      <c r="A2735" s="1">
        <v>0.76601368055555552</v>
      </c>
      <c r="B2735" s="145" t="s">
        <v>165</v>
      </c>
      <c r="C2735">
        <v>2734</v>
      </c>
      <c r="D2735">
        <v>1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1</v>
      </c>
      <c r="M2735">
        <v>1</v>
      </c>
      <c r="N2735">
        <v>1</v>
      </c>
      <c r="O2735">
        <v>1</v>
      </c>
      <c r="P2735">
        <v>1</v>
      </c>
      <c r="Q2735">
        <v>1</v>
      </c>
      <c r="R2735">
        <v>1</v>
      </c>
      <c r="S2735">
        <v>1</v>
      </c>
    </row>
    <row r="2736" spans="1:19" x14ac:dyDescent="0.25">
      <c r="A2736" s="1">
        <v>0.76601379629629629</v>
      </c>
      <c r="B2736" s="145" t="s">
        <v>2</v>
      </c>
      <c r="C2736">
        <v>2735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1</v>
      </c>
      <c r="M2736">
        <v>1</v>
      </c>
      <c r="N2736">
        <v>1</v>
      </c>
      <c r="O2736">
        <v>1</v>
      </c>
      <c r="P2736">
        <v>1</v>
      </c>
      <c r="Q2736">
        <v>1</v>
      </c>
      <c r="R2736">
        <v>1</v>
      </c>
      <c r="S2736">
        <v>1</v>
      </c>
    </row>
    <row r="2737" spans="1:19" x14ac:dyDescent="0.25">
      <c r="A2737" s="1">
        <v>0.76601391203703706</v>
      </c>
      <c r="B2737" s="145" t="s">
        <v>2</v>
      </c>
      <c r="C2737">
        <v>2736</v>
      </c>
      <c r="D2737">
        <v>0</v>
      </c>
      <c r="E2737">
        <v>1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1</v>
      </c>
      <c r="P2737">
        <v>1</v>
      </c>
      <c r="Q2737">
        <v>1</v>
      </c>
      <c r="R2737">
        <v>1</v>
      </c>
      <c r="S2737">
        <v>1</v>
      </c>
    </row>
    <row r="2738" spans="1:19" x14ac:dyDescent="0.25">
      <c r="A2738" s="1">
        <v>0.76601402777777783</v>
      </c>
      <c r="B2738" s="145" t="s">
        <v>165</v>
      </c>
      <c r="C2738">
        <v>2737</v>
      </c>
      <c r="D2738">
        <v>1</v>
      </c>
      <c r="E2738">
        <v>1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1</v>
      </c>
      <c r="N2738">
        <v>1</v>
      </c>
      <c r="O2738">
        <v>1</v>
      </c>
      <c r="P2738">
        <v>1</v>
      </c>
      <c r="Q2738">
        <v>1</v>
      </c>
      <c r="R2738">
        <v>1</v>
      </c>
      <c r="S2738">
        <v>1</v>
      </c>
    </row>
    <row r="2739" spans="1:19" x14ac:dyDescent="0.25">
      <c r="A2739" s="1">
        <v>0.76601414351851849</v>
      </c>
      <c r="B2739" s="145" t="s">
        <v>165</v>
      </c>
      <c r="C2739">
        <v>2738</v>
      </c>
      <c r="D2739">
        <v>1</v>
      </c>
      <c r="E2739">
        <v>1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1</v>
      </c>
      <c r="N2739">
        <v>1</v>
      </c>
      <c r="O2739">
        <v>1</v>
      </c>
      <c r="P2739">
        <v>1</v>
      </c>
      <c r="Q2739">
        <v>1</v>
      </c>
      <c r="R2739">
        <v>1</v>
      </c>
      <c r="S2739">
        <v>1</v>
      </c>
    </row>
    <row r="2740" spans="1:19" x14ac:dyDescent="0.25">
      <c r="A2740" s="1">
        <v>0.76601425925925926</v>
      </c>
      <c r="B2740" s="145" t="s">
        <v>165</v>
      </c>
      <c r="C2740">
        <v>2739</v>
      </c>
      <c r="D2740">
        <v>1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1</v>
      </c>
      <c r="M2740">
        <v>1</v>
      </c>
      <c r="N2740">
        <v>1</v>
      </c>
      <c r="O2740">
        <v>1</v>
      </c>
      <c r="P2740">
        <v>1</v>
      </c>
      <c r="Q2740">
        <v>1</v>
      </c>
      <c r="R2740">
        <v>1</v>
      </c>
      <c r="S2740">
        <v>1</v>
      </c>
    </row>
    <row r="2741" spans="1:19" x14ac:dyDescent="0.25">
      <c r="A2741" s="1">
        <v>0.76601437500000003</v>
      </c>
      <c r="B2741" s="145" t="s">
        <v>165</v>
      </c>
      <c r="C2741">
        <v>2740</v>
      </c>
      <c r="D2741">
        <v>1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1</v>
      </c>
      <c r="M2741">
        <v>1</v>
      </c>
      <c r="N2741">
        <v>1</v>
      </c>
      <c r="O2741">
        <v>1</v>
      </c>
      <c r="P2741">
        <v>1</v>
      </c>
      <c r="Q2741">
        <v>1</v>
      </c>
      <c r="R2741">
        <v>1</v>
      </c>
      <c r="S2741">
        <v>1</v>
      </c>
    </row>
    <row r="2742" spans="1:19" x14ac:dyDescent="0.25">
      <c r="A2742" s="1">
        <v>0.76601450231481483</v>
      </c>
      <c r="B2742" s="145" t="s">
        <v>2</v>
      </c>
      <c r="C2742">
        <v>2741</v>
      </c>
      <c r="D2742">
        <v>0</v>
      </c>
      <c r="E2742">
        <v>1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1</v>
      </c>
      <c r="N2742">
        <v>1</v>
      </c>
      <c r="O2742">
        <v>1</v>
      </c>
      <c r="P2742">
        <v>1</v>
      </c>
      <c r="Q2742">
        <v>1</v>
      </c>
      <c r="R2742">
        <v>1</v>
      </c>
      <c r="S2742">
        <v>1</v>
      </c>
    </row>
    <row r="2743" spans="1:19" x14ac:dyDescent="0.25">
      <c r="A2743" s="1">
        <v>0.76601460648148145</v>
      </c>
      <c r="B2743" s="145" t="s">
        <v>2</v>
      </c>
      <c r="C2743">
        <v>2742</v>
      </c>
      <c r="D2743">
        <v>0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1</v>
      </c>
      <c r="M2743">
        <v>1</v>
      </c>
      <c r="N2743">
        <v>1</v>
      </c>
      <c r="O2743">
        <v>1</v>
      </c>
      <c r="P2743">
        <v>1</v>
      </c>
      <c r="Q2743">
        <v>1</v>
      </c>
      <c r="R2743">
        <v>1</v>
      </c>
      <c r="S2743">
        <v>1</v>
      </c>
    </row>
    <row r="2744" spans="1:19" x14ac:dyDescent="0.25">
      <c r="A2744" s="1">
        <v>0.76601472222222222</v>
      </c>
      <c r="B2744" s="145" t="s">
        <v>165</v>
      </c>
      <c r="C2744">
        <v>2743</v>
      </c>
      <c r="D2744">
        <v>1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</row>
    <row r="2745" spans="1:19" x14ac:dyDescent="0.25">
      <c r="A2745" s="1">
        <v>0.76601495370370365</v>
      </c>
      <c r="B2745" s="145" t="s">
        <v>165</v>
      </c>
      <c r="C2745">
        <v>2744</v>
      </c>
      <c r="D2745">
        <v>1</v>
      </c>
      <c r="E2745">
        <v>1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1</v>
      </c>
      <c r="N2745">
        <v>1</v>
      </c>
      <c r="O2745">
        <v>1</v>
      </c>
      <c r="P2745">
        <v>1</v>
      </c>
      <c r="Q2745">
        <v>1</v>
      </c>
      <c r="R2745">
        <v>1</v>
      </c>
      <c r="S2745">
        <v>1</v>
      </c>
    </row>
    <row r="2746" spans="1:19" x14ac:dyDescent="0.25">
      <c r="A2746" s="1">
        <v>0.76601506944444442</v>
      </c>
      <c r="B2746" s="145" t="s">
        <v>165</v>
      </c>
      <c r="C2746">
        <v>2745</v>
      </c>
      <c r="D2746">
        <v>1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1</v>
      </c>
      <c r="N2746">
        <v>1</v>
      </c>
      <c r="O2746">
        <v>1</v>
      </c>
      <c r="P2746">
        <v>1</v>
      </c>
      <c r="Q2746">
        <v>1</v>
      </c>
      <c r="R2746">
        <v>1</v>
      </c>
      <c r="S2746">
        <v>1</v>
      </c>
    </row>
    <row r="2747" spans="1:19" x14ac:dyDescent="0.25">
      <c r="A2747" s="1">
        <v>0.76601518518518519</v>
      </c>
      <c r="B2747" s="145" t="s">
        <v>2</v>
      </c>
      <c r="C2747">
        <v>2746</v>
      </c>
      <c r="D2747">
        <v>0</v>
      </c>
      <c r="E2747">
        <v>1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1</v>
      </c>
      <c r="N2747">
        <v>1</v>
      </c>
      <c r="O2747">
        <v>1</v>
      </c>
      <c r="P2747">
        <v>1</v>
      </c>
      <c r="Q2747">
        <v>1</v>
      </c>
      <c r="R2747">
        <v>1</v>
      </c>
      <c r="S2747">
        <v>1</v>
      </c>
    </row>
    <row r="2748" spans="1:19" x14ac:dyDescent="0.25">
      <c r="A2748" s="1">
        <v>0.76601530092592596</v>
      </c>
      <c r="B2748" s="145" t="s">
        <v>2</v>
      </c>
      <c r="C2748">
        <v>2747</v>
      </c>
      <c r="D2748">
        <v>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1</v>
      </c>
      <c r="N2748">
        <v>1</v>
      </c>
      <c r="O2748">
        <v>1</v>
      </c>
      <c r="P2748">
        <v>1</v>
      </c>
      <c r="Q2748">
        <v>1</v>
      </c>
      <c r="R2748">
        <v>1</v>
      </c>
      <c r="S2748">
        <v>1</v>
      </c>
    </row>
    <row r="2749" spans="1:19" x14ac:dyDescent="0.25">
      <c r="A2749" s="1">
        <v>0.76601541666666662</v>
      </c>
      <c r="B2749" s="145" t="s">
        <v>165</v>
      </c>
      <c r="C2749">
        <v>2748</v>
      </c>
      <c r="D2749">
        <v>1</v>
      </c>
      <c r="E2749">
        <v>1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</row>
    <row r="2750" spans="1:19" x14ac:dyDescent="0.25">
      <c r="A2750" s="1">
        <v>0.76601553240740738</v>
      </c>
      <c r="B2750" s="145" t="s">
        <v>165</v>
      </c>
      <c r="C2750">
        <v>2749</v>
      </c>
      <c r="D2750">
        <v>1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1</v>
      </c>
      <c r="M2750">
        <v>1</v>
      </c>
      <c r="N2750">
        <v>1</v>
      </c>
      <c r="O2750">
        <v>1</v>
      </c>
      <c r="P2750">
        <v>1</v>
      </c>
      <c r="Q2750">
        <v>1</v>
      </c>
      <c r="R2750">
        <v>1</v>
      </c>
      <c r="S2750">
        <v>1</v>
      </c>
    </row>
    <row r="2751" spans="1:19" x14ac:dyDescent="0.25">
      <c r="A2751" s="1">
        <v>0.76601564814814815</v>
      </c>
      <c r="B2751" s="145" t="s">
        <v>165</v>
      </c>
      <c r="C2751">
        <v>2750</v>
      </c>
      <c r="D2751">
        <v>1</v>
      </c>
      <c r="E2751">
        <v>1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1</v>
      </c>
      <c r="M2751">
        <v>1</v>
      </c>
      <c r="N2751">
        <v>1</v>
      </c>
      <c r="O2751">
        <v>1</v>
      </c>
      <c r="P2751">
        <v>1</v>
      </c>
      <c r="Q2751">
        <v>1</v>
      </c>
      <c r="R2751">
        <v>1</v>
      </c>
      <c r="S2751">
        <v>1</v>
      </c>
    </row>
    <row r="2752" spans="1:19" x14ac:dyDescent="0.25">
      <c r="A2752" s="1">
        <v>0.76601576388888892</v>
      </c>
      <c r="B2752" s="145" t="s">
        <v>165</v>
      </c>
      <c r="C2752">
        <v>2751</v>
      </c>
      <c r="D2752">
        <v>1</v>
      </c>
      <c r="E2752">
        <v>1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1</v>
      </c>
      <c r="M2752">
        <v>1</v>
      </c>
      <c r="N2752">
        <v>1</v>
      </c>
      <c r="O2752">
        <v>1</v>
      </c>
      <c r="P2752">
        <v>1</v>
      </c>
      <c r="Q2752">
        <v>1</v>
      </c>
      <c r="R2752">
        <v>1</v>
      </c>
      <c r="S2752">
        <v>1</v>
      </c>
    </row>
    <row r="2753" spans="1:19" x14ac:dyDescent="0.25">
      <c r="A2753" s="1">
        <v>0.76601587962962958</v>
      </c>
      <c r="B2753" s="145" t="s">
        <v>2</v>
      </c>
      <c r="C2753">
        <v>2752</v>
      </c>
      <c r="D2753">
        <v>0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1</v>
      </c>
      <c r="N2753">
        <v>1</v>
      </c>
      <c r="O2753">
        <v>1</v>
      </c>
      <c r="P2753">
        <v>1</v>
      </c>
      <c r="Q2753">
        <v>1</v>
      </c>
      <c r="R2753">
        <v>1</v>
      </c>
      <c r="S2753">
        <v>1</v>
      </c>
    </row>
    <row r="2754" spans="1:19" x14ac:dyDescent="0.25">
      <c r="A2754" s="1">
        <v>0.76601599537037035</v>
      </c>
      <c r="B2754" s="145" t="s">
        <v>2</v>
      </c>
      <c r="C2754">
        <v>2753</v>
      </c>
      <c r="D2754">
        <v>0</v>
      </c>
      <c r="E2754">
        <v>1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1</v>
      </c>
      <c r="M2754">
        <v>1</v>
      </c>
      <c r="N2754">
        <v>1</v>
      </c>
      <c r="O2754">
        <v>1</v>
      </c>
      <c r="P2754">
        <v>1</v>
      </c>
      <c r="Q2754">
        <v>1</v>
      </c>
      <c r="R2754">
        <v>1</v>
      </c>
      <c r="S2754">
        <v>1</v>
      </c>
    </row>
    <row r="2755" spans="1:19" x14ac:dyDescent="0.25">
      <c r="A2755" s="1">
        <v>0.76601611111111112</v>
      </c>
      <c r="B2755" s="145" t="s">
        <v>165</v>
      </c>
      <c r="C2755">
        <v>2754</v>
      </c>
      <c r="D2755">
        <v>1</v>
      </c>
      <c r="E2755">
        <v>1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1</v>
      </c>
      <c r="M2755">
        <v>1</v>
      </c>
      <c r="N2755">
        <v>1</v>
      </c>
      <c r="O2755">
        <v>1</v>
      </c>
      <c r="P2755">
        <v>1</v>
      </c>
      <c r="Q2755">
        <v>1</v>
      </c>
      <c r="R2755">
        <v>1</v>
      </c>
      <c r="S2755">
        <v>1</v>
      </c>
    </row>
    <row r="2756" spans="1:19" x14ac:dyDescent="0.25">
      <c r="A2756" s="1">
        <v>0.76601622685185189</v>
      </c>
      <c r="B2756" s="145" t="s">
        <v>165</v>
      </c>
      <c r="C2756">
        <v>2755</v>
      </c>
      <c r="D2756">
        <v>1</v>
      </c>
      <c r="E2756">
        <v>1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1</v>
      </c>
      <c r="O2756">
        <v>1</v>
      </c>
      <c r="P2756">
        <v>1</v>
      </c>
      <c r="Q2756">
        <v>1</v>
      </c>
      <c r="R2756">
        <v>1</v>
      </c>
      <c r="S2756">
        <v>1</v>
      </c>
    </row>
    <row r="2757" spans="1:19" x14ac:dyDescent="0.25">
      <c r="A2757" s="1">
        <v>0.76601634259259255</v>
      </c>
      <c r="B2757" s="145" t="s">
        <v>165</v>
      </c>
      <c r="C2757">
        <v>2756</v>
      </c>
      <c r="D2757">
        <v>1</v>
      </c>
      <c r="E2757">
        <v>1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1</v>
      </c>
      <c r="N2757">
        <v>1</v>
      </c>
      <c r="O2757">
        <v>1</v>
      </c>
      <c r="P2757">
        <v>1</v>
      </c>
      <c r="Q2757">
        <v>1</v>
      </c>
      <c r="R2757">
        <v>1</v>
      </c>
      <c r="S2757">
        <v>1</v>
      </c>
    </row>
    <row r="2758" spans="1:19" x14ac:dyDescent="0.25">
      <c r="A2758" s="1">
        <v>0.76601644675925928</v>
      </c>
      <c r="B2758" s="145" t="s">
        <v>165</v>
      </c>
      <c r="C2758">
        <v>2757</v>
      </c>
      <c r="D2758">
        <v>1</v>
      </c>
      <c r="E2758">
        <v>1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1</v>
      </c>
      <c r="M2758">
        <v>1</v>
      </c>
      <c r="N2758">
        <v>1</v>
      </c>
      <c r="O2758">
        <v>1</v>
      </c>
      <c r="P2758">
        <v>1</v>
      </c>
      <c r="Q2758">
        <v>1</v>
      </c>
      <c r="R2758">
        <v>1</v>
      </c>
      <c r="S2758">
        <v>1</v>
      </c>
    </row>
    <row r="2759" spans="1:19" x14ac:dyDescent="0.25">
      <c r="A2759" s="1">
        <v>0.76601656250000005</v>
      </c>
      <c r="B2759" s="145" t="s">
        <v>2</v>
      </c>
      <c r="C2759">
        <v>2758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1</v>
      </c>
      <c r="M2759">
        <v>1</v>
      </c>
      <c r="N2759">
        <v>1</v>
      </c>
      <c r="O2759">
        <v>1</v>
      </c>
      <c r="P2759">
        <v>1</v>
      </c>
      <c r="Q2759">
        <v>1</v>
      </c>
      <c r="R2759">
        <v>1</v>
      </c>
      <c r="S2759">
        <v>1</v>
      </c>
    </row>
    <row r="2760" spans="1:19" x14ac:dyDescent="0.25">
      <c r="A2760" s="1">
        <v>0.76601667824074071</v>
      </c>
      <c r="B2760" s="145" t="s">
        <v>2</v>
      </c>
      <c r="C2760">
        <v>2759</v>
      </c>
      <c r="D2760">
        <v>0</v>
      </c>
      <c r="E2760">
        <v>1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1</v>
      </c>
      <c r="M2760">
        <v>1</v>
      </c>
      <c r="N2760">
        <v>1</v>
      </c>
      <c r="O2760">
        <v>1</v>
      </c>
      <c r="P2760">
        <v>1</v>
      </c>
      <c r="Q2760">
        <v>1</v>
      </c>
      <c r="R2760">
        <v>1</v>
      </c>
      <c r="S2760">
        <v>1</v>
      </c>
    </row>
    <row r="2761" spans="1:19" x14ac:dyDescent="0.25">
      <c r="A2761" s="1">
        <v>0.76601679398148148</v>
      </c>
      <c r="B2761" s="145" t="s">
        <v>165</v>
      </c>
      <c r="C2761">
        <v>2760</v>
      </c>
      <c r="D2761">
        <v>1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1</v>
      </c>
      <c r="M2761">
        <v>1</v>
      </c>
      <c r="N2761">
        <v>1</v>
      </c>
      <c r="O2761">
        <v>1</v>
      </c>
      <c r="P2761">
        <v>1</v>
      </c>
      <c r="Q2761">
        <v>1</v>
      </c>
      <c r="R2761">
        <v>1</v>
      </c>
      <c r="S2761">
        <v>1</v>
      </c>
    </row>
    <row r="2762" spans="1:19" x14ac:dyDescent="0.25">
      <c r="A2762" s="1">
        <v>0.76601690972222225</v>
      </c>
      <c r="B2762" s="145" t="s">
        <v>165</v>
      </c>
      <c r="C2762">
        <v>2761</v>
      </c>
      <c r="D2762">
        <v>1</v>
      </c>
      <c r="E2762">
        <v>1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1</v>
      </c>
      <c r="M2762">
        <v>1</v>
      </c>
      <c r="N2762">
        <v>1</v>
      </c>
      <c r="O2762">
        <v>1</v>
      </c>
      <c r="P2762">
        <v>1</v>
      </c>
      <c r="Q2762">
        <v>1</v>
      </c>
      <c r="R2762">
        <v>1</v>
      </c>
      <c r="S2762">
        <v>1</v>
      </c>
    </row>
    <row r="2763" spans="1:19" x14ac:dyDescent="0.25">
      <c r="A2763" s="1">
        <v>0.76601702546296291</v>
      </c>
      <c r="B2763" s="145" t="s">
        <v>165</v>
      </c>
      <c r="C2763">
        <v>2762</v>
      </c>
      <c r="D2763">
        <v>1</v>
      </c>
      <c r="E2763">
        <v>1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1</v>
      </c>
      <c r="N2763">
        <v>1</v>
      </c>
      <c r="O2763">
        <v>1</v>
      </c>
      <c r="P2763">
        <v>1</v>
      </c>
      <c r="Q2763">
        <v>1</v>
      </c>
      <c r="R2763">
        <v>1</v>
      </c>
      <c r="S2763">
        <v>1</v>
      </c>
    </row>
    <row r="2764" spans="1:19" x14ac:dyDescent="0.25">
      <c r="A2764" s="1">
        <v>0.76601714120370368</v>
      </c>
      <c r="B2764" s="145" t="s">
        <v>165</v>
      </c>
      <c r="C2764">
        <v>2763</v>
      </c>
      <c r="D2764">
        <v>1</v>
      </c>
      <c r="E2764">
        <v>1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1</v>
      </c>
      <c r="N2764">
        <v>1</v>
      </c>
      <c r="O2764">
        <v>1</v>
      </c>
      <c r="P2764">
        <v>1</v>
      </c>
      <c r="Q2764">
        <v>1</v>
      </c>
      <c r="R2764">
        <v>1</v>
      </c>
      <c r="S2764">
        <v>1</v>
      </c>
    </row>
    <row r="2765" spans="1:19" x14ac:dyDescent="0.25">
      <c r="A2765" s="1">
        <v>0.76601725694444445</v>
      </c>
      <c r="B2765" s="145" t="s">
        <v>2</v>
      </c>
      <c r="C2765">
        <v>2764</v>
      </c>
      <c r="D2765">
        <v>0</v>
      </c>
      <c r="E2765">
        <v>1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1</v>
      </c>
      <c r="N2765">
        <v>1</v>
      </c>
      <c r="O2765">
        <v>1</v>
      </c>
      <c r="P2765">
        <v>1</v>
      </c>
      <c r="Q2765">
        <v>1</v>
      </c>
      <c r="R2765">
        <v>1</v>
      </c>
      <c r="S2765">
        <v>1</v>
      </c>
    </row>
    <row r="2766" spans="1:19" x14ac:dyDescent="0.25">
      <c r="A2766" s="1">
        <v>0.76601737268518522</v>
      </c>
      <c r="B2766" s="145" t="s">
        <v>2</v>
      </c>
      <c r="C2766">
        <v>2765</v>
      </c>
      <c r="D2766">
        <v>0</v>
      </c>
      <c r="E2766">
        <v>1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1</v>
      </c>
      <c r="M2766">
        <v>1</v>
      </c>
      <c r="N2766">
        <v>1</v>
      </c>
      <c r="O2766">
        <v>1</v>
      </c>
      <c r="P2766">
        <v>1</v>
      </c>
      <c r="Q2766">
        <v>1</v>
      </c>
      <c r="R2766">
        <v>1</v>
      </c>
      <c r="S2766">
        <v>1</v>
      </c>
    </row>
    <row r="2767" spans="1:19" x14ac:dyDescent="0.25">
      <c r="A2767" s="1">
        <v>0.76601748842592587</v>
      </c>
      <c r="B2767" s="145" t="s">
        <v>165</v>
      </c>
      <c r="C2767">
        <v>2766</v>
      </c>
      <c r="D2767">
        <v>1</v>
      </c>
      <c r="E2767">
        <v>1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1</v>
      </c>
      <c r="M2767">
        <v>1</v>
      </c>
      <c r="N2767">
        <v>1</v>
      </c>
      <c r="O2767">
        <v>1</v>
      </c>
      <c r="P2767">
        <v>1</v>
      </c>
      <c r="Q2767">
        <v>1</v>
      </c>
      <c r="R2767">
        <v>1</v>
      </c>
      <c r="S2767">
        <v>1</v>
      </c>
    </row>
    <row r="2768" spans="1:19" x14ac:dyDescent="0.25">
      <c r="A2768" s="1">
        <v>0.76601760416666664</v>
      </c>
      <c r="B2768" s="145" t="s">
        <v>165</v>
      </c>
      <c r="C2768">
        <v>2767</v>
      </c>
      <c r="D2768">
        <v>1</v>
      </c>
      <c r="E2768">
        <v>1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1</v>
      </c>
      <c r="N2768">
        <v>1</v>
      </c>
      <c r="O2768">
        <v>1</v>
      </c>
      <c r="P2768">
        <v>1</v>
      </c>
      <c r="Q2768">
        <v>1</v>
      </c>
      <c r="R2768">
        <v>1</v>
      </c>
      <c r="S2768">
        <v>1</v>
      </c>
    </row>
    <row r="2769" spans="1:19" x14ac:dyDescent="0.25">
      <c r="A2769" s="1">
        <v>0.76601771990740741</v>
      </c>
      <c r="B2769" s="145" t="s">
        <v>165</v>
      </c>
      <c r="C2769">
        <v>2768</v>
      </c>
      <c r="D2769">
        <v>1</v>
      </c>
      <c r="E2769">
        <v>1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1</v>
      </c>
      <c r="N2769">
        <v>1</v>
      </c>
      <c r="O2769">
        <v>1</v>
      </c>
      <c r="P2769">
        <v>1</v>
      </c>
      <c r="Q2769">
        <v>1</v>
      </c>
      <c r="R2769">
        <v>1</v>
      </c>
      <c r="S2769">
        <v>1</v>
      </c>
    </row>
    <row r="2770" spans="1:19" x14ac:dyDescent="0.25">
      <c r="A2770" s="1">
        <v>0.76601783564814818</v>
      </c>
      <c r="B2770" s="145" t="s">
        <v>165</v>
      </c>
      <c r="C2770">
        <v>2769</v>
      </c>
      <c r="D2770">
        <v>1</v>
      </c>
      <c r="E2770">
        <v>1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1</v>
      </c>
      <c r="N2770">
        <v>1</v>
      </c>
      <c r="O2770">
        <v>1</v>
      </c>
      <c r="P2770">
        <v>1</v>
      </c>
      <c r="Q2770">
        <v>1</v>
      </c>
      <c r="R2770">
        <v>1</v>
      </c>
      <c r="S2770">
        <v>1</v>
      </c>
    </row>
    <row r="2771" spans="1:19" x14ac:dyDescent="0.25">
      <c r="A2771" s="1">
        <v>0.76601795138888884</v>
      </c>
      <c r="B2771" s="145" t="s">
        <v>2</v>
      </c>
      <c r="C2771">
        <v>2770</v>
      </c>
      <c r="D2771">
        <v>0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1</v>
      </c>
      <c r="M2771">
        <v>1</v>
      </c>
      <c r="N2771">
        <v>1</v>
      </c>
      <c r="O2771">
        <v>1</v>
      </c>
      <c r="P2771">
        <v>1</v>
      </c>
      <c r="Q2771">
        <v>1</v>
      </c>
      <c r="R2771">
        <v>1</v>
      </c>
      <c r="S2771">
        <v>1</v>
      </c>
    </row>
    <row r="2772" spans="1:19" x14ac:dyDescent="0.25">
      <c r="A2772" s="1">
        <v>0.76601806712962961</v>
      </c>
      <c r="B2772" s="145" t="s">
        <v>2</v>
      </c>
      <c r="C2772">
        <v>2771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1</v>
      </c>
      <c r="M2772">
        <v>1</v>
      </c>
      <c r="N2772">
        <v>1</v>
      </c>
      <c r="O2772">
        <v>1</v>
      </c>
      <c r="P2772">
        <v>1</v>
      </c>
      <c r="Q2772">
        <v>1</v>
      </c>
      <c r="R2772">
        <v>1</v>
      </c>
      <c r="S2772">
        <v>1</v>
      </c>
    </row>
    <row r="2773" spans="1:19" x14ac:dyDescent="0.25">
      <c r="A2773" s="1">
        <v>0.76601818287037038</v>
      </c>
      <c r="B2773" s="145" t="s">
        <v>165</v>
      </c>
      <c r="C2773">
        <v>2772</v>
      </c>
      <c r="D2773">
        <v>1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1</v>
      </c>
      <c r="N2773">
        <v>1</v>
      </c>
      <c r="O2773">
        <v>1</v>
      </c>
      <c r="P2773">
        <v>1</v>
      </c>
      <c r="Q2773">
        <v>1</v>
      </c>
      <c r="R2773">
        <v>1</v>
      </c>
      <c r="S2773">
        <v>1</v>
      </c>
    </row>
    <row r="2774" spans="1:19" x14ac:dyDescent="0.25">
      <c r="A2774" s="1">
        <v>0.76601829861111115</v>
      </c>
      <c r="B2774" s="145" t="s">
        <v>165</v>
      </c>
      <c r="C2774">
        <v>2773</v>
      </c>
      <c r="D2774">
        <v>1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1</v>
      </c>
      <c r="N2774">
        <v>1</v>
      </c>
      <c r="O2774">
        <v>1</v>
      </c>
      <c r="P2774">
        <v>1</v>
      </c>
      <c r="Q2774">
        <v>1</v>
      </c>
      <c r="R2774">
        <v>1</v>
      </c>
      <c r="S2774">
        <v>1</v>
      </c>
    </row>
    <row r="2775" spans="1:19" x14ac:dyDescent="0.25">
      <c r="A2775" s="1">
        <v>0.76601841435185181</v>
      </c>
      <c r="B2775" s="145" t="s">
        <v>165</v>
      </c>
      <c r="C2775">
        <v>2774</v>
      </c>
      <c r="D2775">
        <v>1</v>
      </c>
      <c r="E2775">
        <v>1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1</v>
      </c>
      <c r="N2775">
        <v>1</v>
      </c>
      <c r="O2775">
        <v>1</v>
      </c>
      <c r="P2775">
        <v>1</v>
      </c>
      <c r="Q2775">
        <v>1</v>
      </c>
      <c r="R2775">
        <v>1</v>
      </c>
      <c r="S2775">
        <v>1</v>
      </c>
    </row>
    <row r="2776" spans="1:19" x14ac:dyDescent="0.25">
      <c r="A2776" s="1">
        <v>0.76601853009259258</v>
      </c>
      <c r="B2776" s="145" t="s">
        <v>165</v>
      </c>
      <c r="C2776">
        <v>2775</v>
      </c>
      <c r="D2776">
        <v>1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1</v>
      </c>
      <c r="M2776">
        <v>1</v>
      </c>
      <c r="N2776">
        <v>1</v>
      </c>
      <c r="O2776">
        <v>1</v>
      </c>
      <c r="P2776">
        <v>1</v>
      </c>
      <c r="Q2776">
        <v>1</v>
      </c>
      <c r="R2776">
        <v>1</v>
      </c>
      <c r="S2776">
        <v>1</v>
      </c>
    </row>
    <row r="2777" spans="1:19" x14ac:dyDescent="0.25">
      <c r="A2777" s="1">
        <v>0.76601864583333334</v>
      </c>
      <c r="B2777" s="145" t="s">
        <v>2</v>
      </c>
      <c r="C2777">
        <v>2776</v>
      </c>
      <c r="D2777">
        <v>0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1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1</v>
      </c>
      <c r="S2777">
        <v>1</v>
      </c>
    </row>
    <row r="2778" spans="1:19" x14ac:dyDescent="0.25">
      <c r="A2778" s="1">
        <v>0.76601876157407411</v>
      </c>
      <c r="B2778" s="145" t="s">
        <v>2</v>
      </c>
      <c r="C2778">
        <v>2777</v>
      </c>
      <c r="D2778">
        <v>0</v>
      </c>
      <c r="E2778">
        <v>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1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1</v>
      </c>
      <c r="S2778">
        <v>1</v>
      </c>
    </row>
    <row r="2779" spans="1:19" x14ac:dyDescent="0.25">
      <c r="A2779" s="1">
        <v>0.76601887731481477</v>
      </c>
      <c r="B2779" s="145" t="s">
        <v>165</v>
      </c>
      <c r="C2779">
        <v>2778</v>
      </c>
      <c r="D2779">
        <v>1</v>
      </c>
      <c r="E2779">
        <v>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1</v>
      </c>
      <c r="S2779">
        <v>1</v>
      </c>
    </row>
    <row r="2780" spans="1:19" x14ac:dyDescent="0.25">
      <c r="A2780" s="1">
        <v>0.76601899305555554</v>
      </c>
      <c r="B2780" s="145" t="s">
        <v>165</v>
      </c>
      <c r="C2780">
        <v>2779</v>
      </c>
      <c r="D2780">
        <v>1</v>
      </c>
      <c r="E2780">
        <v>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</row>
    <row r="2781" spans="1:19" x14ac:dyDescent="0.25">
      <c r="A2781" s="1">
        <v>0.76601910879629631</v>
      </c>
      <c r="B2781" s="145" t="s">
        <v>165</v>
      </c>
      <c r="C2781">
        <v>2780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</row>
    <row r="2782" spans="1:19" x14ac:dyDescent="0.25">
      <c r="A2782" s="1">
        <v>0.76601922453703708</v>
      </c>
      <c r="B2782" s="145" t="s">
        <v>165</v>
      </c>
      <c r="C2782">
        <v>2781</v>
      </c>
      <c r="D2782">
        <v>1</v>
      </c>
      <c r="E2782">
        <v>1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</row>
    <row r="2783" spans="1:19" x14ac:dyDescent="0.25">
      <c r="A2783" s="1">
        <v>0.76601934027777774</v>
      </c>
      <c r="B2783" s="145" t="s">
        <v>2</v>
      </c>
      <c r="C2783">
        <v>2782</v>
      </c>
      <c r="D2783">
        <v>0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</row>
    <row r="2784" spans="1:19" x14ac:dyDescent="0.25">
      <c r="A2784" s="1">
        <v>0.76601945601851851</v>
      </c>
      <c r="B2784" s="145" t="s">
        <v>2</v>
      </c>
      <c r="C2784">
        <v>2783</v>
      </c>
      <c r="D2784">
        <v>0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</row>
    <row r="2785" spans="1:19" x14ac:dyDescent="0.25">
      <c r="A2785" s="1">
        <v>0.76601957175925928</v>
      </c>
      <c r="B2785" s="145" t="s">
        <v>165</v>
      </c>
      <c r="C2785">
        <v>2784</v>
      </c>
      <c r="D2785">
        <v>1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</row>
    <row r="2786" spans="1:19" x14ac:dyDescent="0.25">
      <c r="A2786" s="1">
        <v>0.76601968750000005</v>
      </c>
      <c r="B2786" s="145" t="s">
        <v>165</v>
      </c>
      <c r="C2786">
        <v>2785</v>
      </c>
      <c r="D2786">
        <v>1</v>
      </c>
      <c r="E2786">
        <v>1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1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1</v>
      </c>
      <c r="S2786">
        <v>1</v>
      </c>
    </row>
    <row r="2787" spans="1:19" x14ac:dyDescent="0.25">
      <c r="A2787" s="1">
        <v>0.7660198032407407</v>
      </c>
      <c r="B2787" s="145" t="s">
        <v>165</v>
      </c>
      <c r="C2787">
        <v>2786</v>
      </c>
      <c r="D2787">
        <v>1</v>
      </c>
      <c r="E2787">
        <v>1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1</v>
      </c>
      <c r="S2787">
        <v>1</v>
      </c>
    </row>
    <row r="2788" spans="1:19" x14ac:dyDescent="0.25">
      <c r="A2788" s="1">
        <v>0.76601991898148147</v>
      </c>
      <c r="B2788" s="145" t="s">
        <v>165</v>
      </c>
      <c r="C2788">
        <v>2787</v>
      </c>
      <c r="D2788">
        <v>1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1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1</v>
      </c>
      <c r="S2788">
        <v>1</v>
      </c>
    </row>
    <row r="2789" spans="1:19" x14ac:dyDescent="0.25">
      <c r="A2789" s="1">
        <v>0.76602003472222224</v>
      </c>
      <c r="B2789" s="145" t="s">
        <v>2</v>
      </c>
      <c r="C2789">
        <v>2788</v>
      </c>
      <c r="D2789">
        <v>0</v>
      </c>
      <c r="E2789">
        <v>1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1</v>
      </c>
      <c r="S2789">
        <v>1</v>
      </c>
    </row>
    <row r="2790" spans="1:19" x14ac:dyDescent="0.25">
      <c r="A2790" s="1">
        <v>0.76602015046296301</v>
      </c>
      <c r="B2790" s="145" t="s">
        <v>2</v>
      </c>
      <c r="C2790">
        <v>2789</v>
      </c>
      <c r="D2790">
        <v>0</v>
      </c>
      <c r="E2790">
        <v>1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1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1</v>
      </c>
      <c r="S2790">
        <v>1</v>
      </c>
    </row>
    <row r="2791" spans="1:19" x14ac:dyDescent="0.25">
      <c r="A2791" s="1">
        <v>0.76602026620370367</v>
      </c>
      <c r="B2791" s="145" t="s">
        <v>165</v>
      </c>
      <c r="C2791">
        <v>2790</v>
      </c>
      <c r="D2791">
        <v>1</v>
      </c>
      <c r="E2791">
        <v>1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1</v>
      </c>
      <c r="S2791">
        <v>1</v>
      </c>
    </row>
    <row r="2792" spans="1:19" x14ac:dyDescent="0.25">
      <c r="A2792" s="1">
        <v>0.76602038194444444</v>
      </c>
      <c r="B2792" s="145" t="s">
        <v>165</v>
      </c>
      <c r="C2792">
        <v>2791</v>
      </c>
      <c r="D2792">
        <v>1</v>
      </c>
      <c r="E2792">
        <v>1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1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1</v>
      </c>
      <c r="S2792">
        <v>1</v>
      </c>
    </row>
    <row r="2793" spans="1:19" x14ac:dyDescent="0.25">
      <c r="A2793" s="1">
        <v>0.76602049768518521</v>
      </c>
      <c r="B2793" s="145" t="s">
        <v>165</v>
      </c>
      <c r="C2793">
        <v>2792</v>
      </c>
      <c r="D2793">
        <v>1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1</v>
      </c>
      <c r="S2793">
        <v>1</v>
      </c>
    </row>
    <row r="2794" spans="1:19" x14ac:dyDescent="0.25">
      <c r="A2794" s="1">
        <v>0.76602061342592598</v>
      </c>
      <c r="B2794" s="145" t="s">
        <v>165</v>
      </c>
      <c r="C2794">
        <v>2793</v>
      </c>
      <c r="D2794">
        <v>1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1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1</v>
      </c>
      <c r="S2794">
        <v>1</v>
      </c>
    </row>
    <row r="2795" spans="1:19" x14ac:dyDescent="0.25">
      <c r="A2795" s="1">
        <v>0.76602072916666664</v>
      </c>
      <c r="B2795" s="145" t="s">
        <v>2</v>
      </c>
      <c r="C2795">
        <v>2794</v>
      </c>
      <c r="D2795">
        <v>0</v>
      </c>
      <c r="E2795">
        <v>1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1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1</v>
      </c>
      <c r="S2795">
        <v>1</v>
      </c>
    </row>
    <row r="2796" spans="1:19" x14ac:dyDescent="0.25">
      <c r="A2796" s="1">
        <v>0.76602084490740741</v>
      </c>
      <c r="B2796" s="145" t="s">
        <v>2</v>
      </c>
      <c r="C2796">
        <v>2795</v>
      </c>
      <c r="D2796">
        <v>0</v>
      </c>
      <c r="E2796">
        <v>1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1</v>
      </c>
      <c r="S2796">
        <v>1</v>
      </c>
    </row>
    <row r="2797" spans="1:19" x14ac:dyDescent="0.25">
      <c r="A2797" s="1">
        <v>0.76602096064814817</v>
      </c>
      <c r="B2797" s="145" t="s">
        <v>165</v>
      </c>
      <c r="C2797">
        <v>2796</v>
      </c>
      <c r="D2797">
        <v>1</v>
      </c>
      <c r="E2797">
        <v>1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1</v>
      </c>
      <c r="S2797">
        <v>1</v>
      </c>
    </row>
    <row r="2798" spans="1:19" x14ac:dyDescent="0.25">
      <c r="A2798" s="1">
        <v>0.76602107638888894</v>
      </c>
      <c r="B2798" s="145" t="s">
        <v>165</v>
      </c>
      <c r="C2798">
        <v>2797</v>
      </c>
      <c r="D2798">
        <v>1</v>
      </c>
      <c r="E2798">
        <v>1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1</v>
      </c>
      <c r="S2798">
        <v>1</v>
      </c>
    </row>
    <row r="2799" spans="1:19" x14ac:dyDescent="0.25">
      <c r="A2799" s="1">
        <v>0.7660211921296296</v>
      </c>
      <c r="B2799" s="145" t="s">
        <v>165</v>
      </c>
      <c r="C2799">
        <v>2798</v>
      </c>
      <c r="D2799">
        <v>1</v>
      </c>
      <c r="E2799">
        <v>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1</v>
      </c>
      <c r="S2799">
        <v>1</v>
      </c>
    </row>
    <row r="2800" spans="1:19" x14ac:dyDescent="0.25">
      <c r="A2800" s="1">
        <v>0.76602130787037037</v>
      </c>
      <c r="B2800" s="145" t="s">
        <v>165</v>
      </c>
      <c r="C2800">
        <v>2799</v>
      </c>
      <c r="D2800">
        <v>1</v>
      </c>
      <c r="E2800">
        <v>1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1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1</v>
      </c>
      <c r="S2800">
        <v>1</v>
      </c>
    </row>
    <row r="2801" spans="1:19" x14ac:dyDescent="0.25">
      <c r="A2801" s="1">
        <v>0.76602142361111114</v>
      </c>
      <c r="B2801" s="145" t="s">
        <v>2</v>
      </c>
      <c r="C2801">
        <v>2800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1</v>
      </c>
      <c r="S2801">
        <v>1</v>
      </c>
    </row>
    <row r="2802" spans="1:19" x14ac:dyDescent="0.25">
      <c r="A2802" s="1">
        <v>0.7660215393518518</v>
      </c>
      <c r="B2802" s="145" t="s">
        <v>2</v>
      </c>
      <c r="C2802">
        <v>2801</v>
      </c>
      <c r="D2802">
        <v>0</v>
      </c>
      <c r="E2802">
        <v>1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1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1</v>
      </c>
      <c r="S2802">
        <v>1</v>
      </c>
    </row>
    <row r="2803" spans="1:19" x14ac:dyDescent="0.25">
      <c r="A2803" s="1">
        <v>0.76602165509259257</v>
      </c>
      <c r="B2803" s="145" t="s">
        <v>165</v>
      </c>
      <c r="C2803">
        <v>2802</v>
      </c>
      <c r="D2803">
        <v>1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1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1</v>
      </c>
      <c r="S2803">
        <v>1</v>
      </c>
    </row>
    <row r="2804" spans="1:19" x14ac:dyDescent="0.25">
      <c r="A2804" s="1">
        <v>0.76602177083333334</v>
      </c>
      <c r="B2804" s="145" t="s">
        <v>165</v>
      </c>
      <c r="C2804">
        <v>2803</v>
      </c>
      <c r="D2804">
        <v>1</v>
      </c>
      <c r="E2804">
        <v>1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</row>
    <row r="2805" spans="1:19" x14ac:dyDescent="0.25">
      <c r="A2805" s="1">
        <v>0.76602188657407411</v>
      </c>
      <c r="B2805" s="145" t="s">
        <v>165</v>
      </c>
      <c r="C2805">
        <v>2804</v>
      </c>
      <c r="D2805">
        <v>1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</row>
    <row r="2806" spans="1:19" x14ac:dyDescent="0.25">
      <c r="A2806" s="1">
        <v>0.76602200231481477</v>
      </c>
      <c r="B2806" s="145" t="s">
        <v>165</v>
      </c>
      <c r="C2806">
        <v>2805</v>
      </c>
      <c r="D2806">
        <v>1</v>
      </c>
      <c r="E2806">
        <v>1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1</v>
      </c>
      <c r="S2806">
        <v>1</v>
      </c>
    </row>
    <row r="2807" spans="1:19" x14ac:dyDescent="0.25">
      <c r="A2807" s="1">
        <v>0.76602211805555553</v>
      </c>
      <c r="B2807" s="145" t="s">
        <v>2</v>
      </c>
      <c r="C2807">
        <v>2806</v>
      </c>
      <c r="D2807">
        <v>0</v>
      </c>
      <c r="E2807">
        <v>1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1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1</v>
      </c>
      <c r="S2807">
        <v>1</v>
      </c>
    </row>
    <row r="2808" spans="1:19" x14ac:dyDescent="0.25">
      <c r="A2808" s="1">
        <v>0.7660222337962963</v>
      </c>
      <c r="B2808" s="145" t="s">
        <v>2</v>
      </c>
      <c r="C2808">
        <v>2807</v>
      </c>
      <c r="D2808">
        <v>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1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1</v>
      </c>
      <c r="S2808">
        <v>1</v>
      </c>
    </row>
    <row r="2809" spans="1:19" x14ac:dyDescent="0.25">
      <c r="A2809" s="1">
        <v>0.76602234953703707</v>
      </c>
      <c r="B2809" s="145" t="s">
        <v>165</v>
      </c>
      <c r="C2809">
        <v>2808</v>
      </c>
      <c r="D2809">
        <v>1</v>
      </c>
      <c r="E2809">
        <v>1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1</v>
      </c>
      <c r="S2809">
        <v>1</v>
      </c>
    </row>
    <row r="2810" spans="1:19" x14ac:dyDescent="0.25">
      <c r="A2810" s="1">
        <v>0.76602246527777773</v>
      </c>
      <c r="B2810" s="145" t="s">
        <v>165</v>
      </c>
      <c r="C2810">
        <v>2809</v>
      </c>
      <c r="D2810">
        <v>1</v>
      </c>
      <c r="E2810">
        <v>1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1</v>
      </c>
      <c r="S2810">
        <v>1</v>
      </c>
    </row>
    <row r="2811" spans="1:19" x14ac:dyDescent="0.25">
      <c r="A2811" s="1">
        <v>0.7660225810185185</v>
      </c>
      <c r="B2811" s="145" t="s">
        <v>165</v>
      </c>
      <c r="C2811">
        <v>2810</v>
      </c>
      <c r="D2811">
        <v>1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1</v>
      </c>
      <c r="S2811">
        <v>1</v>
      </c>
    </row>
    <row r="2812" spans="1:19" x14ac:dyDescent="0.25">
      <c r="A2812" s="1">
        <v>0.76602269675925927</v>
      </c>
      <c r="B2812" s="145" t="s">
        <v>165</v>
      </c>
      <c r="C2812">
        <v>2811</v>
      </c>
      <c r="D2812">
        <v>1</v>
      </c>
      <c r="E2812">
        <v>1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1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1</v>
      </c>
      <c r="S2812">
        <v>1</v>
      </c>
    </row>
    <row r="2813" spans="1:19" x14ac:dyDescent="0.25">
      <c r="A2813" s="1">
        <v>0.76602281250000004</v>
      </c>
      <c r="B2813" s="145" t="s">
        <v>2</v>
      </c>
      <c r="C2813">
        <v>2812</v>
      </c>
      <c r="D2813">
        <v>0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1</v>
      </c>
      <c r="S2813">
        <v>1</v>
      </c>
    </row>
    <row r="2814" spans="1:19" x14ac:dyDescent="0.25">
      <c r="A2814" s="1">
        <v>0.7660229282407407</v>
      </c>
      <c r="B2814" s="145" t="s">
        <v>2</v>
      </c>
      <c r="C2814">
        <v>2813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1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1</v>
      </c>
      <c r="S2814">
        <v>1</v>
      </c>
    </row>
    <row r="2815" spans="1:19" x14ac:dyDescent="0.25">
      <c r="A2815" s="1">
        <v>0.76602304398148147</v>
      </c>
      <c r="B2815" s="145" t="s">
        <v>165</v>
      </c>
      <c r="C2815">
        <v>2814</v>
      </c>
      <c r="D2815">
        <v>1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1</v>
      </c>
      <c r="S2815">
        <v>1</v>
      </c>
    </row>
    <row r="2816" spans="1:19" x14ac:dyDescent="0.25">
      <c r="A2816" s="1">
        <v>0.76602315972222224</v>
      </c>
      <c r="B2816" s="145" t="s">
        <v>165</v>
      </c>
      <c r="C2816">
        <v>2815</v>
      </c>
      <c r="D2816">
        <v>1</v>
      </c>
      <c r="E2816">
        <v>1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1</v>
      </c>
      <c r="S2816">
        <v>1</v>
      </c>
    </row>
    <row r="2817" spans="1:19" x14ac:dyDescent="0.25">
      <c r="A2817" s="1">
        <v>0.766023275462963</v>
      </c>
      <c r="B2817" s="145" t="s">
        <v>165</v>
      </c>
      <c r="C2817">
        <v>2816</v>
      </c>
      <c r="D2817">
        <v>1</v>
      </c>
      <c r="E2817">
        <v>1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1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1</v>
      </c>
      <c r="S2817">
        <v>1</v>
      </c>
    </row>
    <row r="2818" spans="1:19" x14ac:dyDescent="0.25">
      <c r="A2818" s="1">
        <v>0.76602339120370366</v>
      </c>
      <c r="B2818" s="145" t="s">
        <v>165</v>
      </c>
      <c r="C2818">
        <v>2817</v>
      </c>
      <c r="D2818">
        <v>1</v>
      </c>
      <c r="E2818">
        <v>1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1</v>
      </c>
      <c r="S2818">
        <v>1</v>
      </c>
    </row>
    <row r="2819" spans="1:19" x14ac:dyDescent="0.25">
      <c r="A2819" s="1">
        <v>0.76602350694444443</v>
      </c>
      <c r="B2819" s="145" t="s">
        <v>2</v>
      </c>
      <c r="C2819">
        <v>2818</v>
      </c>
      <c r="D2819">
        <v>0</v>
      </c>
      <c r="E2819">
        <v>1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1</v>
      </c>
      <c r="S2819">
        <v>1</v>
      </c>
    </row>
    <row r="2820" spans="1:19" x14ac:dyDescent="0.25">
      <c r="A2820" s="1">
        <v>0.7660236226851852</v>
      </c>
      <c r="B2820" s="145" t="s">
        <v>2</v>
      </c>
      <c r="C2820">
        <v>2819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1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1</v>
      </c>
      <c r="S2820">
        <v>1</v>
      </c>
    </row>
    <row r="2821" spans="1:19" x14ac:dyDescent="0.25">
      <c r="A2821" s="1">
        <v>0.76602372685185183</v>
      </c>
      <c r="B2821" s="145" t="s">
        <v>165</v>
      </c>
      <c r="C2821">
        <v>2820</v>
      </c>
      <c r="D2821">
        <v>1</v>
      </c>
      <c r="E2821">
        <v>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1</v>
      </c>
      <c r="S2821">
        <v>1</v>
      </c>
    </row>
    <row r="2822" spans="1:19" x14ac:dyDescent="0.25">
      <c r="A2822" s="1">
        <v>0.7660238425925926</v>
      </c>
      <c r="B2822" s="145" t="s">
        <v>165</v>
      </c>
      <c r="C2822">
        <v>2821</v>
      </c>
      <c r="D2822">
        <v>1</v>
      </c>
      <c r="E2822">
        <v>1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1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1</v>
      </c>
      <c r="S2822">
        <v>1</v>
      </c>
    </row>
    <row r="2823" spans="1:19" x14ac:dyDescent="0.25">
      <c r="A2823" s="1">
        <v>0.76602395833333337</v>
      </c>
      <c r="B2823" s="145" t="s">
        <v>165</v>
      </c>
      <c r="C2823">
        <v>2822</v>
      </c>
      <c r="D2823">
        <v>1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1</v>
      </c>
      <c r="S2823">
        <v>1</v>
      </c>
    </row>
    <row r="2824" spans="1:19" x14ac:dyDescent="0.25">
      <c r="A2824" s="1">
        <v>0.76602407407407402</v>
      </c>
      <c r="B2824" s="145" t="s">
        <v>165</v>
      </c>
      <c r="C2824">
        <v>2823</v>
      </c>
      <c r="D2824">
        <v>1</v>
      </c>
      <c r="E2824">
        <v>1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1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1</v>
      </c>
      <c r="S2824">
        <v>1</v>
      </c>
    </row>
    <row r="2825" spans="1:19" x14ac:dyDescent="0.25">
      <c r="A2825" s="1">
        <v>0.76602418981481479</v>
      </c>
      <c r="B2825" s="145" t="s">
        <v>2</v>
      </c>
      <c r="C2825">
        <v>2824</v>
      </c>
      <c r="D2825">
        <v>0</v>
      </c>
      <c r="E2825">
        <v>1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1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1</v>
      </c>
      <c r="S2825">
        <v>1</v>
      </c>
    </row>
    <row r="2826" spans="1:19" x14ac:dyDescent="0.25">
      <c r="A2826" s="1">
        <v>0.76602430555555556</v>
      </c>
      <c r="B2826" s="145" t="s">
        <v>2</v>
      </c>
      <c r="C2826">
        <v>2825</v>
      </c>
      <c r="D2826">
        <v>0</v>
      </c>
      <c r="E2826">
        <v>1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1</v>
      </c>
      <c r="S2826">
        <v>1</v>
      </c>
    </row>
    <row r="2827" spans="1:19" x14ac:dyDescent="0.25">
      <c r="A2827" s="1">
        <v>0.76602442129629633</v>
      </c>
      <c r="B2827" s="145" t="s">
        <v>165</v>
      </c>
      <c r="C2827">
        <v>2826</v>
      </c>
      <c r="D2827">
        <v>1</v>
      </c>
      <c r="E2827">
        <v>1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1</v>
      </c>
      <c r="S2827">
        <v>1</v>
      </c>
    </row>
    <row r="2828" spans="1:19" x14ac:dyDescent="0.25">
      <c r="A2828" s="1">
        <v>0.76602453703703699</v>
      </c>
      <c r="B2828" s="145" t="s">
        <v>165</v>
      </c>
      <c r="C2828">
        <v>2827</v>
      </c>
      <c r="D2828">
        <v>1</v>
      </c>
      <c r="E2828">
        <v>1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1</v>
      </c>
      <c r="S2828">
        <v>1</v>
      </c>
    </row>
    <row r="2829" spans="1:19" x14ac:dyDescent="0.25">
      <c r="A2829" s="1">
        <v>0.76602465277777776</v>
      </c>
      <c r="B2829" s="145" t="s">
        <v>165</v>
      </c>
      <c r="C2829">
        <v>2828</v>
      </c>
      <c r="D2829">
        <v>1</v>
      </c>
      <c r="E2829">
        <v>1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1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1</v>
      </c>
      <c r="S2829">
        <v>1</v>
      </c>
    </row>
    <row r="2830" spans="1:19" x14ac:dyDescent="0.25">
      <c r="A2830" s="1">
        <v>0.76602476851851853</v>
      </c>
      <c r="B2830" s="145" t="s">
        <v>165</v>
      </c>
      <c r="C2830">
        <v>2829</v>
      </c>
      <c r="D2830">
        <v>1</v>
      </c>
      <c r="E2830">
        <v>1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1</v>
      </c>
      <c r="S2830">
        <v>1</v>
      </c>
    </row>
    <row r="2831" spans="1:19" x14ac:dyDescent="0.25">
      <c r="A2831" s="1">
        <v>0.7660248842592593</v>
      </c>
      <c r="B2831" s="145" t="s">
        <v>2</v>
      </c>
      <c r="C2831">
        <v>2830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1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1</v>
      </c>
      <c r="S2831">
        <v>1</v>
      </c>
    </row>
    <row r="2832" spans="1:19" x14ac:dyDescent="0.25">
      <c r="A2832" s="1">
        <v>0.76602499999999996</v>
      </c>
      <c r="B2832" s="145" t="s">
        <v>2</v>
      </c>
      <c r="C2832">
        <v>2831</v>
      </c>
      <c r="D2832">
        <v>0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1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1</v>
      </c>
      <c r="S2832">
        <v>1</v>
      </c>
    </row>
    <row r="2833" spans="1:19" x14ac:dyDescent="0.25">
      <c r="A2833" s="1">
        <v>0.76602511574074073</v>
      </c>
      <c r="B2833" s="145" t="s">
        <v>165</v>
      </c>
      <c r="C2833">
        <v>2832</v>
      </c>
      <c r="D2833">
        <v>1</v>
      </c>
      <c r="E2833">
        <v>1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1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1</v>
      </c>
      <c r="S2833">
        <v>1</v>
      </c>
    </row>
    <row r="2834" spans="1:19" x14ac:dyDescent="0.25">
      <c r="A2834" s="1">
        <v>0.76602523148148149</v>
      </c>
      <c r="B2834" s="145" t="s">
        <v>165</v>
      </c>
      <c r="C2834">
        <v>2833</v>
      </c>
      <c r="D2834">
        <v>1</v>
      </c>
      <c r="E2834">
        <v>1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1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1</v>
      </c>
      <c r="S2834">
        <v>1</v>
      </c>
    </row>
    <row r="2835" spans="1:19" x14ac:dyDescent="0.25">
      <c r="A2835" s="1">
        <v>0.76602534722222226</v>
      </c>
      <c r="B2835" s="145" t="s">
        <v>165</v>
      </c>
      <c r="C2835">
        <v>2834</v>
      </c>
      <c r="D2835">
        <v>1</v>
      </c>
      <c r="E2835">
        <v>1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1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1</v>
      </c>
      <c r="S2835">
        <v>1</v>
      </c>
    </row>
    <row r="2836" spans="1:19" x14ac:dyDescent="0.25">
      <c r="A2836" s="1">
        <v>0.76602546296296292</v>
      </c>
      <c r="B2836" s="145" t="s">
        <v>165</v>
      </c>
      <c r="C2836">
        <v>2835</v>
      </c>
      <c r="D2836">
        <v>1</v>
      </c>
      <c r="E2836">
        <v>1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1</v>
      </c>
      <c r="S2836">
        <v>1</v>
      </c>
    </row>
    <row r="2837" spans="1:19" x14ac:dyDescent="0.25">
      <c r="A2837" s="1">
        <v>0.76602557870370369</v>
      </c>
      <c r="B2837" s="145" t="s">
        <v>2</v>
      </c>
      <c r="C2837">
        <v>2836</v>
      </c>
      <c r="D2837">
        <v>0</v>
      </c>
      <c r="E2837">
        <v>1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1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1</v>
      </c>
      <c r="S2837">
        <v>1</v>
      </c>
    </row>
    <row r="2838" spans="1:19" x14ac:dyDescent="0.25">
      <c r="A2838" s="1">
        <v>0.76602569444444446</v>
      </c>
      <c r="B2838" s="145" t="s">
        <v>165</v>
      </c>
      <c r="C2838">
        <v>2837</v>
      </c>
      <c r="D2838">
        <v>1</v>
      </c>
      <c r="E2838">
        <v>1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1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</row>
    <row r="2839" spans="1:19" x14ac:dyDescent="0.25">
      <c r="A2839" s="1">
        <v>0.76602581018518523</v>
      </c>
      <c r="B2839" s="145" t="s">
        <v>165</v>
      </c>
      <c r="C2839">
        <v>2838</v>
      </c>
      <c r="D2839">
        <v>1</v>
      </c>
      <c r="E2839">
        <v>1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1</v>
      </c>
      <c r="S2839">
        <v>1</v>
      </c>
    </row>
    <row r="2840" spans="1:19" x14ac:dyDescent="0.25">
      <c r="A2840" s="1">
        <v>0.76602592592592589</v>
      </c>
      <c r="B2840" s="145" t="s">
        <v>165</v>
      </c>
      <c r="C2840">
        <v>2839</v>
      </c>
      <c r="D2840">
        <v>1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1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1</v>
      </c>
      <c r="S2840">
        <v>1</v>
      </c>
    </row>
    <row r="2841" spans="1:19" x14ac:dyDescent="0.25">
      <c r="A2841" s="1">
        <v>0.76602604166666666</v>
      </c>
      <c r="B2841" s="145" t="s">
        <v>165</v>
      </c>
      <c r="C2841">
        <v>2840</v>
      </c>
      <c r="D2841">
        <v>1</v>
      </c>
      <c r="E2841">
        <v>1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1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1</v>
      </c>
      <c r="S2841">
        <v>1</v>
      </c>
    </row>
    <row r="2842" spans="1:19" x14ac:dyDescent="0.25">
      <c r="A2842" s="1">
        <v>0.76602615740740743</v>
      </c>
      <c r="B2842" s="145" t="s">
        <v>165</v>
      </c>
      <c r="C2842">
        <v>2841</v>
      </c>
      <c r="D2842">
        <v>1</v>
      </c>
      <c r="E2842">
        <v>1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1</v>
      </c>
      <c r="S2842">
        <v>1</v>
      </c>
    </row>
    <row r="2843" spans="1:19" x14ac:dyDescent="0.25">
      <c r="A2843" s="1">
        <v>0.7660262731481482</v>
      </c>
      <c r="B2843" s="145" t="s">
        <v>2</v>
      </c>
      <c r="C2843">
        <v>2842</v>
      </c>
      <c r="D2843">
        <v>0</v>
      </c>
      <c r="E2843">
        <v>1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</row>
    <row r="2844" spans="1:19" x14ac:dyDescent="0.25">
      <c r="A2844" s="1">
        <v>0.76602650462962962</v>
      </c>
      <c r="B2844" s="145" t="s">
        <v>165</v>
      </c>
      <c r="C2844">
        <v>2843</v>
      </c>
      <c r="D2844">
        <v>1</v>
      </c>
      <c r="E2844">
        <v>1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1</v>
      </c>
      <c r="S2844">
        <v>1</v>
      </c>
    </row>
    <row r="2845" spans="1:19" x14ac:dyDescent="0.25">
      <c r="A2845" s="1">
        <v>0.76602662037037039</v>
      </c>
      <c r="B2845" s="145" t="s">
        <v>165</v>
      </c>
      <c r="C2845">
        <v>2844</v>
      </c>
      <c r="D2845">
        <v>1</v>
      </c>
      <c r="E2845">
        <v>1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</row>
    <row r="2846" spans="1:19" x14ac:dyDescent="0.25">
      <c r="A2846" s="1">
        <v>0.76602673611111116</v>
      </c>
      <c r="B2846" s="145" t="s">
        <v>165</v>
      </c>
      <c r="C2846">
        <v>2845</v>
      </c>
      <c r="D2846">
        <v>1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1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1</v>
      </c>
      <c r="S2846">
        <v>1</v>
      </c>
    </row>
    <row r="2847" spans="1:19" x14ac:dyDescent="0.25">
      <c r="A2847" s="1">
        <v>0.76602685185185182</v>
      </c>
      <c r="B2847" s="145" t="s">
        <v>165</v>
      </c>
      <c r="C2847">
        <v>2846</v>
      </c>
      <c r="D2847">
        <v>1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</row>
    <row r="2848" spans="1:19" x14ac:dyDescent="0.25">
      <c r="A2848" s="1">
        <v>0.76602696759259259</v>
      </c>
      <c r="B2848" s="145" t="s">
        <v>2</v>
      </c>
      <c r="C2848">
        <v>2847</v>
      </c>
      <c r="D2848">
        <v>0</v>
      </c>
      <c r="E2848">
        <v>1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</row>
    <row r="2849" spans="1:19" x14ac:dyDescent="0.25">
      <c r="A2849" s="1">
        <v>0.76602708333333336</v>
      </c>
      <c r="B2849" s="145" t="s">
        <v>165</v>
      </c>
      <c r="C2849">
        <v>2848</v>
      </c>
      <c r="D2849">
        <v>1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1</v>
      </c>
      <c r="S2849">
        <v>1</v>
      </c>
    </row>
    <row r="2850" spans="1:19" x14ac:dyDescent="0.25">
      <c r="A2850" s="1">
        <v>0.76602719907407413</v>
      </c>
      <c r="B2850" s="145" t="s">
        <v>165</v>
      </c>
      <c r="C2850">
        <v>2849</v>
      </c>
      <c r="D2850">
        <v>1</v>
      </c>
      <c r="E2850">
        <v>1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1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1</v>
      </c>
      <c r="S2850">
        <v>1</v>
      </c>
    </row>
    <row r="2851" spans="1:19" x14ac:dyDescent="0.25">
      <c r="A2851" s="1">
        <v>0.76602731481481479</v>
      </c>
      <c r="B2851" s="145" t="s">
        <v>165</v>
      </c>
      <c r="C2851">
        <v>2850</v>
      </c>
      <c r="D2851">
        <v>1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</row>
    <row r="2852" spans="1:19" x14ac:dyDescent="0.25">
      <c r="A2852" s="1">
        <v>0.76602743055555556</v>
      </c>
      <c r="B2852" s="145" t="s">
        <v>165</v>
      </c>
      <c r="C2852">
        <v>2851</v>
      </c>
      <c r="D2852">
        <v>1</v>
      </c>
      <c r="E2852">
        <v>1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1</v>
      </c>
      <c r="S2852">
        <v>1</v>
      </c>
    </row>
    <row r="2853" spans="1:19" x14ac:dyDescent="0.25">
      <c r="A2853" s="1">
        <v>0.76602754629629632</v>
      </c>
      <c r="B2853" s="145" t="s">
        <v>165</v>
      </c>
      <c r="C2853">
        <v>2852</v>
      </c>
      <c r="D2853">
        <v>1</v>
      </c>
      <c r="E2853">
        <v>1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</row>
    <row r="2854" spans="1:19" x14ac:dyDescent="0.25">
      <c r="A2854" s="1">
        <v>0.76602766203703698</v>
      </c>
      <c r="B2854" s="145" t="s">
        <v>2</v>
      </c>
      <c r="C2854">
        <v>2853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1</v>
      </c>
      <c r="S2854">
        <v>1</v>
      </c>
    </row>
    <row r="2855" spans="1:19" x14ac:dyDescent="0.25">
      <c r="A2855" s="1">
        <v>0.76602777777777775</v>
      </c>
      <c r="B2855" s="145" t="s">
        <v>165</v>
      </c>
      <c r="C2855">
        <v>2854</v>
      </c>
      <c r="D2855">
        <v>1</v>
      </c>
      <c r="E2855">
        <v>1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</row>
    <row r="2856" spans="1:19" x14ac:dyDescent="0.25">
      <c r="A2856" s="1">
        <v>0.76602789351851852</v>
      </c>
      <c r="B2856" s="145" t="s">
        <v>165</v>
      </c>
      <c r="C2856">
        <v>2855</v>
      </c>
      <c r="D2856">
        <v>1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1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1</v>
      </c>
      <c r="S2856">
        <v>1</v>
      </c>
    </row>
    <row r="2857" spans="1:19" x14ac:dyDescent="0.25">
      <c r="A2857" s="1">
        <v>0.76602800925925929</v>
      </c>
      <c r="B2857" s="145" t="s">
        <v>165</v>
      </c>
      <c r="C2857">
        <v>2856</v>
      </c>
      <c r="D2857">
        <v>1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1</v>
      </c>
      <c r="S2857">
        <v>1</v>
      </c>
    </row>
    <row r="2858" spans="1:19" x14ac:dyDescent="0.25">
      <c r="A2858" s="1">
        <v>0.76602812499999995</v>
      </c>
      <c r="B2858" s="145" t="s">
        <v>165</v>
      </c>
      <c r="C2858">
        <v>2857</v>
      </c>
      <c r="D2858">
        <v>1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1</v>
      </c>
      <c r="S2858">
        <v>1</v>
      </c>
    </row>
    <row r="2859" spans="1:19" x14ac:dyDescent="0.25">
      <c r="A2859" s="1">
        <v>0.76602824074074072</v>
      </c>
      <c r="B2859" s="145" t="s">
        <v>165</v>
      </c>
      <c r="C2859">
        <v>2858</v>
      </c>
      <c r="D2859">
        <v>1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</row>
    <row r="2860" spans="1:19" x14ac:dyDescent="0.25">
      <c r="A2860" s="1">
        <v>0.76602835648148149</v>
      </c>
      <c r="B2860" s="145" t="s">
        <v>2</v>
      </c>
      <c r="C2860">
        <v>2859</v>
      </c>
      <c r="D2860">
        <v>0</v>
      </c>
      <c r="E2860">
        <v>1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1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1</v>
      </c>
      <c r="S2860">
        <v>1</v>
      </c>
    </row>
    <row r="2861" spans="1:19" x14ac:dyDescent="0.25">
      <c r="A2861" s="1">
        <v>0.76602847222222226</v>
      </c>
      <c r="B2861" s="145" t="s">
        <v>165</v>
      </c>
      <c r="C2861">
        <v>2860</v>
      </c>
      <c r="D2861">
        <v>1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1</v>
      </c>
      <c r="S2861">
        <v>1</v>
      </c>
    </row>
    <row r="2862" spans="1:19" x14ac:dyDescent="0.25">
      <c r="A2862" s="1">
        <v>0.76602858796296291</v>
      </c>
      <c r="B2862" s="145" t="s">
        <v>165</v>
      </c>
      <c r="C2862">
        <v>2861</v>
      </c>
      <c r="D2862">
        <v>1</v>
      </c>
      <c r="E2862">
        <v>1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1</v>
      </c>
      <c r="S2862">
        <v>1</v>
      </c>
    </row>
    <row r="2863" spans="1:19" x14ac:dyDescent="0.25">
      <c r="A2863" s="1">
        <v>0.76602870370370368</v>
      </c>
      <c r="B2863" s="145" t="s">
        <v>165</v>
      </c>
      <c r="C2863">
        <v>2862</v>
      </c>
      <c r="D2863">
        <v>1</v>
      </c>
      <c r="E2863">
        <v>1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1</v>
      </c>
      <c r="S2863">
        <v>1</v>
      </c>
    </row>
    <row r="2864" spans="1:19" x14ac:dyDescent="0.25">
      <c r="A2864" s="1">
        <v>0.76602881944444445</v>
      </c>
      <c r="B2864" s="145" t="s">
        <v>165</v>
      </c>
      <c r="C2864">
        <v>2863</v>
      </c>
      <c r="D2864">
        <v>1</v>
      </c>
      <c r="E2864">
        <v>1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1</v>
      </c>
      <c r="S2864">
        <v>1</v>
      </c>
    </row>
    <row r="2865" spans="1:19" x14ac:dyDescent="0.25">
      <c r="A2865" s="1">
        <v>0.76602893518518522</v>
      </c>
      <c r="B2865" s="145" t="s">
        <v>165</v>
      </c>
      <c r="C2865">
        <v>2864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1</v>
      </c>
      <c r="S2865">
        <v>1</v>
      </c>
    </row>
    <row r="2866" spans="1:19" x14ac:dyDescent="0.25">
      <c r="A2866" s="1">
        <v>0.76602905092592588</v>
      </c>
      <c r="B2866" s="145" t="s">
        <v>2</v>
      </c>
      <c r="C2866">
        <v>2865</v>
      </c>
      <c r="D2866">
        <v>0</v>
      </c>
      <c r="E2866">
        <v>1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1</v>
      </c>
      <c r="S2866">
        <v>1</v>
      </c>
    </row>
    <row r="2867" spans="1:19" x14ac:dyDescent="0.25">
      <c r="A2867" s="1">
        <v>0.76602916666666665</v>
      </c>
      <c r="B2867" s="145" t="s">
        <v>165</v>
      </c>
      <c r="C2867">
        <v>2866</v>
      </c>
      <c r="D2867">
        <v>1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1</v>
      </c>
      <c r="S2867">
        <v>1</v>
      </c>
    </row>
    <row r="2868" spans="1:19" x14ac:dyDescent="0.25">
      <c r="A2868" s="1">
        <v>0.76602928240740742</v>
      </c>
      <c r="B2868" s="145" t="s">
        <v>165</v>
      </c>
      <c r="C2868">
        <v>2867</v>
      </c>
      <c r="D2868">
        <v>1</v>
      </c>
      <c r="E2868">
        <v>1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1</v>
      </c>
      <c r="S2868">
        <v>1</v>
      </c>
    </row>
    <row r="2869" spans="1:19" x14ac:dyDescent="0.25">
      <c r="A2869" s="1">
        <v>0.76602939814814819</v>
      </c>
      <c r="B2869" s="145" t="s">
        <v>165</v>
      </c>
      <c r="C2869">
        <v>2868</v>
      </c>
      <c r="D2869">
        <v>1</v>
      </c>
      <c r="E2869">
        <v>1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1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1</v>
      </c>
      <c r="S2869">
        <v>1</v>
      </c>
    </row>
    <row r="2870" spans="1:19" x14ac:dyDescent="0.25">
      <c r="A2870" s="1">
        <v>0.76602951388888885</v>
      </c>
      <c r="B2870" s="145" t="s">
        <v>165</v>
      </c>
      <c r="C2870">
        <v>2869</v>
      </c>
      <c r="D2870">
        <v>1</v>
      </c>
      <c r="E2870">
        <v>1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1</v>
      </c>
      <c r="S2870">
        <v>1</v>
      </c>
    </row>
    <row r="2871" spans="1:19" x14ac:dyDescent="0.25">
      <c r="A2871" s="1">
        <v>0.76602962962962962</v>
      </c>
      <c r="B2871" s="145" t="s">
        <v>165</v>
      </c>
      <c r="C2871">
        <v>2870</v>
      </c>
      <c r="D2871">
        <v>1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1</v>
      </c>
      <c r="S2871">
        <v>1</v>
      </c>
    </row>
    <row r="2872" spans="1:19" x14ac:dyDescent="0.25">
      <c r="A2872" s="1">
        <v>0.76602974537037039</v>
      </c>
      <c r="B2872" s="145" t="s">
        <v>2</v>
      </c>
      <c r="C2872">
        <v>2871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1</v>
      </c>
      <c r="S2872">
        <v>1</v>
      </c>
    </row>
    <row r="2873" spans="1:19" x14ac:dyDescent="0.25">
      <c r="A2873" s="1">
        <v>0.76602986111111115</v>
      </c>
      <c r="B2873" s="145" t="s">
        <v>165</v>
      </c>
      <c r="C2873">
        <v>2872</v>
      </c>
      <c r="D2873">
        <v>1</v>
      </c>
      <c r="E2873">
        <v>1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1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1</v>
      </c>
      <c r="S2873">
        <v>1</v>
      </c>
    </row>
    <row r="2874" spans="1:19" x14ac:dyDescent="0.25">
      <c r="A2874" s="1">
        <v>0.76602997685185181</v>
      </c>
      <c r="B2874" s="145" t="s">
        <v>165</v>
      </c>
      <c r="C2874">
        <v>2873</v>
      </c>
      <c r="D2874">
        <v>1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1</v>
      </c>
      <c r="S2874">
        <v>1</v>
      </c>
    </row>
    <row r="2875" spans="1:19" x14ac:dyDescent="0.25">
      <c r="A2875" s="1">
        <v>0.76603009259259258</v>
      </c>
      <c r="B2875" s="145" t="s">
        <v>165</v>
      </c>
      <c r="C2875">
        <v>2874</v>
      </c>
      <c r="D2875">
        <v>1</v>
      </c>
      <c r="E2875">
        <v>1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1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1</v>
      </c>
      <c r="S2875">
        <v>1</v>
      </c>
    </row>
    <row r="2876" spans="1:19" x14ac:dyDescent="0.25">
      <c r="A2876" s="1">
        <v>0.76603020833333335</v>
      </c>
      <c r="B2876" s="145" t="s">
        <v>165</v>
      </c>
      <c r="C2876">
        <v>2875</v>
      </c>
      <c r="D2876">
        <v>1</v>
      </c>
      <c r="E2876">
        <v>1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1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1</v>
      </c>
      <c r="S2876">
        <v>1</v>
      </c>
    </row>
    <row r="2877" spans="1:19" x14ac:dyDescent="0.25">
      <c r="A2877" s="1">
        <v>0.76603032407407412</v>
      </c>
      <c r="B2877" s="145" t="s">
        <v>165</v>
      </c>
      <c r="C2877">
        <v>2876</v>
      </c>
      <c r="D2877">
        <v>1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1</v>
      </c>
      <c r="S2877">
        <v>1</v>
      </c>
    </row>
    <row r="2878" spans="1:19" x14ac:dyDescent="0.25">
      <c r="A2878" s="1">
        <v>0.76603043981481478</v>
      </c>
      <c r="B2878" s="145" t="s">
        <v>2</v>
      </c>
      <c r="C2878">
        <v>2877</v>
      </c>
      <c r="D2878">
        <v>0</v>
      </c>
      <c r="E2878">
        <v>1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1</v>
      </c>
      <c r="S2878">
        <v>1</v>
      </c>
    </row>
    <row r="2879" spans="1:19" x14ac:dyDescent="0.25">
      <c r="A2879" s="1">
        <v>0.76603055555555555</v>
      </c>
      <c r="B2879" s="145" t="s">
        <v>165</v>
      </c>
      <c r="C2879">
        <v>2878</v>
      </c>
      <c r="D2879">
        <v>1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1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1</v>
      </c>
      <c r="S2879">
        <v>1</v>
      </c>
    </row>
    <row r="2880" spans="1:19" x14ac:dyDescent="0.25">
      <c r="A2880" s="1">
        <v>0.76603067129629632</v>
      </c>
      <c r="B2880" s="145" t="s">
        <v>165</v>
      </c>
      <c r="C2880">
        <v>2879</v>
      </c>
      <c r="D2880">
        <v>1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1</v>
      </c>
      <c r="S2880">
        <v>1</v>
      </c>
    </row>
    <row r="2881" spans="1:19" x14ac:dyDescent="0.25">
      <c r="A2881" s="1">
        <v>0.76603078703703709</v>
      </c>
      <c r="B2881" s="145" t="s">
        <v>165</v>
      </c>
      <c r="C2881">
        <v>2880</v>
      </c>
      <c r="D2881">
        <v>1</v>
      </c>
      <c r="E2881">
        <v>1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1</v>
      </c>
      <c r="S2881">
        <v>1</v>
      </c>
    </row>
    <row r="2882" spans="1:19" x14ac:dyDescent="0.25">
      <c r="A2882" s="1">
        <v>0.76603089120370371</v>
      </c>
      <c r="B2882" s="145" t="s">
        <v>165</v>
      </c>
      <c r="C2882">
        <v>2881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1</v>
      </c>
      <c r="S2882">
        <v>1</v>
      </c>
    </row>
    <row r="2883" spans="1:19" x14ac:dyDescent="0.25">
      <c r="A2883" s="1">
        <v>0.76603100694444448</v>
      </c>
      <c r="B2883" s="145" t="s">
        <v>165</v>
      </c>
      <c r="C2883">
        <v>2882</v>
      </c>
      <c r="D2883">
        <v>1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1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1</v>
      </c>
      <c r="S2883">
        <v>1</v>
      </c>
    </row>
    <row r="2884" spans="1:19" x14ac:dyDescent="0.25">
      <c r="A2884" s="1">
        <v>0.76603112268518514</v>
      </c>
      <c r="B2884" s="145" t="s">
        <v>2</v>
      </c>
      <c r="C2884">
        <v>2883</v>
      </c>
      <c r="D2884">
        <v>0</v>
      </c>
      <c r="E2884">
        <v>1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1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1</v>
      </c>
      <c r="S2884">
        <v>1</v>
      </c>
    </row>
    <row r="2885" spans="1:19" x14ac:dyDescent="0.25">
      <c r="A2885" s="1">
        <v>0.76603123842592591</v>
      </c>
      <c r="B2885" s="145" t="s">
        <v>165</v>
      </c>
      <c r="C2885">
        <v>2884</v>
      </c>
      <c r="D2885">
        <v>1</v>
      </c>
      <c r="E2885">
        <v>1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1</v>
      </c>
      <c r="S2885">
        <v>1</v>
      </c>
    </row>
    <row r="2886" spans="1:19" x14ac:dyDescent="0.25">
      <c r="A2886" s="1">
        <v>0.76603135416666668</v>
      </c>
      <c r="B2886" s="145" t="s">
        <v>165</v>
      </c>
      <c r="C2886">
        <v>2885</v>
      </c>
      <c r="D2886">
        <v>1</v>
      </c>
      <c r="E2886">
        <v>1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</row>
    <row r="2887" spans="1:19" x14ac:dyDescent="0.25">
      <c r="A2887" s="1">
        <v>0.76603146990740745</v>
      </c>
      <c r="B2887" s="145" t="s">
        <v>165</v>
      </c>
      <c r="C2887">
        <v>2886</v>
      </c>
      <c r="D2887">
        <v>1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1</v>
      </c>
      <c r="S2887">
        <v>1</v>
      </c>
    </row>
    <row r="2888" spans="1:19" x14ac:dyDescent="0.25">
      <c r="A2888" s="1">
        <v>0.76603158564814811</v>
      </c>
      <c r="B2888" s="145" t="s">
        <v>165</v>
      </c>
      <c r="C2888">
        <v>2887</v>
      </c>
      <c r="D2888">
        <v>1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1</v>
      </c>
      <c r="S2888">
        <v>1</v>
      </c>
    </row>
    <row r="2889" spans="1:19" x14ac:dyDescent="0.25">
      <c r="A2889" s="1">
        <v>0.76603170138888887</v>
      </c>
      <c r="B2889" s="145" t="s">
        <v>165</v>
      </c>
      <c r="C2889">
        <v>2888</v>
      </c>
      <c r="D2889">
        <v>1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1</v>
      </c>
      <c r="S2889">
        <v>1</v>
      </c>
    </row>
    <row r="2890" spans="1:19" x14ac:dyDescent="0.25">
      <c r="A2890" s="1">
        <v>0.76603181712962964</v>
      </c>
      <c r="B2890" s="145" t="s">
        <v>2</v>
      </c>
      <c r="C2890">
        <v>2889</v>
      </c>
      <c r="D2890">
        <v>0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1</v>
      </c>
      <c r="S2890">
        <v>1</v>
      </c>
    </row>
    <row r="2891" spans="1:19" x14ac:dyDescent="0.25">
      <c r="A2891" s="1">
        <v>0.76603193287037041</v>
      </c>
      <c r="B2891" s="145" t="s">
        <v>165</v>
      </c>
      <c r="C2891">
        <v>2890</v>
      </c>
      <c r="D2891">
        <v>1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1</v>
      </c>
      <c r="S2891">
        <v>1</v>
      </c>
    </row>
    <row r="2892" spans="1:19" x14ac:dyDescent="0.25">
      <c r="A2892" s="1">
        <v>0.76603204861111107</v>
      </c>
      <c r="B2892" s="145" t="s">
        <v>165</v>
      </c>
      <c r="C2892">
        <v>2891</v>
      </c>
      <c r="D2892">
        <v>1</v>
      </c>
      <c r="E2892">
        <v>1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1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1</v>
      </c>
      <c r="S2892">
        <v>1</v>
      </c>
    </row>
    <row r="2893" spans="1:19" x14ac:dyDescent="0.25">
      <c r="A2893" s="1">
        <v>0.76603216435185184</v>
      </c>
      <c r="B2893" s="145" t="s">
        <v>165</v>
      </c>
      <c r="C2893">
        <v>2892</v>
      </c>
      <c r="D2893">
        <v>1</v>
      </c>
      <c r="E2893">
        <v>1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1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1</v>
      </c>
      <c r="S2893">
        <v>1</v>
      </c>
    </row>
    <row r="2894" spans="1:19" x14ac:dyDescent="0.25">
      <c r="A2894" s="1">
        <v>0.76603228009259261</v>
      </c>
      <c r="B2894" s="145" t="s">
        <v>165</v>
      </c>
      <c r="C2894">
        <v>2893</v>
      </c>
      <c r="D2894">
        <v>1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1</v>
      </c>
      <c r="S2894">
        <v>1</v>
      </c>
    </row>
    <row r="2895" spans="1:19" x14ac:dyDescent="0.25">
      <c r="A2895" s="1">
        <v>0.76603239583333338</v>
      </c>
      <c r="B2895" s="145" t="s">
        <v>165</v>
      </c>
      <c r="C2895">
        <v>2894</v>
      </c>
      <c r="D2895">
        <v>1</v>
      </c>
      <c r="E2895">
        <v>1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1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1</v>
      </c>
      <c r="S2895">
        <v>1</v>
      </c>
    </row>
    <row r="2896" spans="1:19" x14ac:dyDescent="0.25">
      <c r="A2896" s="1">
        <v>0.76603251157407404</v>
      </c>
      <c r="B2896" s="145" t="s">
        <v>2</v>
      </c>
      <c r="C2896">
        <v>2895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1</v>
      </c>
      <c r="S2896">
        <v>1</v>
      </c>
    </row>
    <row r="2897" spans="1:19" x14ac:dyDescent="0.25">
      <c r="A2897" s="1">
        <v>0.76603262731481481</v>
      </c>
      <c r="B2897" s="145" t="s">
        <v>165</v>
      </c>
      <c r="C2897">
        <v>2896</v>
      </c>
      <c r="D2897">
        <v>1</v>
      </c>
      <c r="E2897">
        <v>1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1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1</v>
      </c>
      <c r="S2897">
        <v>1</v>
      </c>
    </row>
    <row r="2898" spans="1:19" x14ac:dyDescent="0.25">
      <c r="A2898" s="1">
        <v>0.76603274305555558</v>
      </c>
      <c r="B2898" s="145" t="s">
        <v>165</v>
      </c>
      <c r="C2898">
        <v>2897</v>
      </c>
      <c r="D2898">
        <v>1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1</v>
      </c>
      <c r="S2898">
        <v>1</v>
      </c>
    </row>
    <row r="2899" spans="1:19" x14ac:dyDescent="0.25">
      <c r="A2899" s="1">
        <v>0.76603285879629635</v>
      </c>
      <c r="B2899" s="145" t="s">
        <v>165</v>
      </c>
      <c r="C2899">
        <v>2898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1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1</v>
      </c>
      <c r="S2899">
        <v>1</v>
      </c>
    </row>
    <row r="2900" spans="1:19" x14ac:dyDescent="0.25">
      <c r="A2900" s="1">
        <v>0.766032974537037</v>
      </c>
      <c r="B2900" s="145" t="s">
        <v>165</v>
      </c>
      <c r="C2900">
        <v>2899</v>
      </c>
      <c r="D2900">
        <v>1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1</v>
      </c>
      <c r="S2900">
        <v>1</v>
      </c>
    </row>
    <row r="2901" spans="1:19" x14ac:dyDescent="0.25">
      <c r="A2901" s="1">
        <v>0.76603309027777777</v>
      </c>
      <c r="B2901" s="145" t="s">
        <v>165</v>
      </c>
      <c r="C2901">
        <v>2900</v>
      </c>
      <c r="D2901">
        <v>1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1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1</v>
      </c>
      <c r="S2901">
        <v>1</v>
      </c>
    </row>
    <row r="2902" spans="1:19" x14ac:dyDescent="0.25">
      <c r="A2902" s="1">
        <v>0.76603320601851854</v>
      </c>
      <c r="B2902" s="145" t="s">
        <v>2</v>
      </c>
      <c r="C2902">
        <v>2901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1</v>
      </c>
      <c r="S2902">
        <v>1</v>
      </c>
    </row>
    <row r="2903" spans="1:19" x14ac:dyDescent="0.25">
      <c r="A2903" s="1">
        <v>0.76603332175925931</v>
      </c>
      <c r="B2903" s="145" t="s">
        <v>165</v>
      </c>
      <c r="C2903">
        <v>2902</v>
      </c>
      <c r="D2903">
        <v>1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1</v>
      </c>
      <c r="S2903">
        <v>1</v>
      </c>
    </row>
    <row r="2904" spans="1:19" x14ac:dyDescent="0.25">
      <c r="A2904" s="1">
        <v>0.76603343749999997</v>
      </c>
      <c r="B2904" s="145" t="s">
        <v>165</v>
      </c>
      <c r="C2904">
        <v>2903</v>
      </c>
      <c r="D2904">
        <v>1</v>
      </c>
      <c r="E2904">
        <v>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1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1</v>
      </c>
      <c r="S2904">
        <v>1</v>
      </c>
    </row>
    <row r="2905" spans="1:19" x14ac:dyDescent="0.25">
      <c r="A2905" s="1">
        <v>0.76603355324074074</v>
      </c>
      <c r="B2905" s="145" t="s">
        <v>165</v>
      </c>
      <c r="C2905">
        <v>2904</v>
      </c>
      <c r="D2905">
        <v>1</v>
      </c>
      <c r="E2905">
        <v>1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1</v>
      </c>
      <c r="S2905">
        <v>1</v>
      </c>
    </row>
    <row r="2906" spans="1:19" x14ac:dyDescent="0.25">
      <c r="A2906" s="1">
        <v>0.76603366898148151</v>
      </c>
      <c r="B2906" s="145" t="s">
        <v>165</v>
      </c>
      <c r="C2906">
        <v>2905</v>
      </c>
      <c r="D2906">
        <v>1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1</v>
      </c>
      <c r="S2906">
        <v>1</v>
      </c>
    </row>
    <row r="2907" spans="1:19" x14ac:dyDescent="0.25">
      <c r="A2907" s="1">
        <v>0.76603378472222228</v>
      </c>
      <c r="B2907" s="145" t="s">
        <v>165</v>
      </c>
      <c r="C2907">
        <v>2906</v>
      </c>
      <c r="D2907">
        <v>1</v>
      </c>
      <c r="E2907">
        <v>1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1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1</v>
      </c>
      <c r="S2907">
        <v>1</v>
      </c>
    </row>
    <row r="2908" spans="1:19" x14ac:dyDescent="0.25">
      <c r="A2908" s="1">
        <v>0.76603390046296294</v>
      </c>
      <c r="B2908" s="145" t="s">
        <v>2</v>
      </c>
      <c r="C2908">
        <v>2907</v>
      </c>
      <c r="D2908">
        <v>0</v>
      </c>
      <c r="E2908">
        <v>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1</v>
      </c>
      <c r="S2908">
        <v>1</v>
      </c>
    </row>
    <row r="2909" spans="1:19" x14ac:dyDescent="0.25">
      <c r="A2909" s="1">
        <v>0.7660340162037037</v>
      </c>
      <c r="B2909" s="145" t="s">
        <v>165</v>
      </c>
      <c r="C2909">
        <v>2908</v>
      </c>
      <c r="D2909">
        <v>1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1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1</v>
      </c>
      <c r="S2909">
        <v>1</v>
      </c>
    </row>
    <row r="2910" spans="1:19" x14ac:dyDescent="0.25">
      <c r="A2910" s="1">
        <v>0.76603413194444447</v>
      </c>
      <c r="B2910" s="145" t="s">
        <v>165</v>
      </c>
      <c r="C2910">
        <v>2909</v>
      </c>
      <c r="D2910">
        <v>1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1</v>
      </c>
      <c r="S2910">
        <v>1</v>
      </c>
    </row>
    <row r="2911" spans="1:19" x14ac:dyDescent="0.25">
      <c r="A2911" s="1">
        <v>0.76603424768518513</v>
      </c>
      <c r="B2911" s="145" t="s">
        <v>165</v>
      </c>
      <c r="C2911">
        <v>2910</v>
      </c>
      <c r="D2911">
        <v>1</v>
      </c>
      <c r="E2911">
        <v>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1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1</v>
      </c>
      <c r="S2911">
        <v>1</v>
      </c>
    </row>
    <row r="2912" spans="1:19" x14ac:dyDescent="0.25">
      <c r="A2912" s="1">
        <v>0.7660343634259259</v>
      </c>
      <c r="B2912" s="145" t="s">
        <v>165</v>
      </c>
      <c r="C2912">
        <v>2911</v>
      </c>
      <c r="D2912">
        <v>1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1</v>
      </c>
      <c r="S2912">
        <v>1</v>
      </c>
    </row>
    <row r="2913" spans="1:19" x14ac:dyDescent="0.25">
      <c r="A2913" s="1">
        <v>0.76603447916666667</v>
      </c>
      <c r="B2913" s="145" t="s">
        <v>165</v>
      </c>
      <c r="C2913">
        <v>2912</v>
      </c>
      <c r="D2913">
        <v>1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1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1</v>
      </c>
      <c r="S2913">
        <v>1</v>
      </c>
    </row>
    <row r="2914" spans="1:19" x14ac:dyDescent="0.25">
      <c r="A2914" s="1">
        <v>0.76603459490740744</v>
      </c>
      <c r="B2914" s="145" t="s">
        <v>2</v>
      </c>
      <c r="C2914">
        <v>2913</v>
      </c>
      <c r="D2914">
        <v>0</v>
      </c>
      <c r="E2914">
        <v>1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1</v>
      </c>
      <c r="S2914">
        <v>1</v>
      </c>
    </row>
    <row r="2915" spans="1:19" x14ac:dyDescent="0.25">
      <c r="A2915" s="1">
        <v>0.7660347106481481</v>
      </c>
      <c r="B2915" s="145" t="s">
        <v>165</v>
      </c>
      <c r="C2915">
        <v>2914</v>
      </c>
      <c r="D2915">
        <v>1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1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1</v>
      </c>
      <c r="S2915">
        <v>1</v>
      </c>
    </row>
    <row r="2916" spans="1:19" x14ac:dyDescent="0.25">
      <c r="A2916" s="1">
        <v>0.76603482638888887</v>
      </c>
      <c r="B2916" s="145" t="s">
        <v>165</v>
      </c>
      <c r="C2916">
        <v>2915</v>
      </c>
      <c r="D2916">
        <v>1</v>
      </c>
      <c r="E2916">
        <v>1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1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1</v>
      </c>
      <c r="S2916">
        <v>1</v>
      </c>
    </row>
    <row r="2917" spans="1:19" x14ac:dyDescent="0.25">
      <c r="A2917" s="1">
        <v>0.76603494212962964</v>
      </c>
      <c r="B2917" s="145" t="s">
        <v>165</v>
      </c>
      <c r="C2917">
        <v>2916</v>
      </c>
      <c r="D2917">
        <v>1</v>
      </c>
      <c r="E2917">
        <v>1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1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1</v>
      </c>
      <c r="S2917">
        <v>1</v>
      </c>
    </row>
    <row r="2918" spans="1:19" x14ac:dyDescent="0.25">
      <c r="A2918" s="1">
        <v>0.76603505787037041</v>
      </c>
      <c r="B2918" s="145" t="s">
        <v>165</v>
      </c>
      <c r="C2918">
        <v>2917</v>
      </c>
      <c r="D2918">
        <v>1</v>
      </c>
      <c r="E2918">
        <v>1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1</v>
      </c>
      <c r="S2918">
        <v>1</v>
      </c>
    </row>
    <row r="2919" spans="1:19" x14ac:dyDescent="0.25">
      <c r="A2919" s="1">
        <v>0.76603517361111106</v>
      </c>
      <c r="B2919" s="145" t="s">
        <v>165</v>
      </c>
      <c r="C2919">
        <v>2918</v>
      </c>
      <c r="D2919">
        <v>1</v>
      </c>
      <c r="E2919">
        <v>1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1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1</v>
      </c>
      <c r="S2919">
        <v>1</v>
      </c>
    </row>
    <row r="2920" spans="1:19" x14ac:dyDescent="0.25">
      <c r="A2920" s="1">
        <v>0.76603528935185183</v>
      </c>
      <c r="B2920" s="145" t="s">
        <v>2</v>
      </c>
      <c r="C2920">
        <v>2919</v>
      </c>
      <c r="D2920">
        <v>0</v>
      </c>
      <c r="E2920">
        <v>1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1</v>
      </c>
      <c r="S2920">
        <v>1</v>
      </c>
    </row>
    <row r="2921" spans="1:19" x14ac:dyDescent="0.25">
      <c r="A2921" s="1">
        <v>0.7660354050925926</v>
      </c>
      <c r="B2921" s="145" t="s">
        <v>165</v>
      </c>
      <c r="C2921">
        <v>2920</v>
      </c>
      <c r="D2921">
        <v>1</v>
      </c>
      <c r="E2921">
        <v>1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1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1</v>
      </c>
      <c r="S2921">
        <v>1</v>
      </c>
    </row>
    <row r="2922" spans="1:19" x14ac:dyDescent="0.25">
      <c r="A2922" s="1">
        <v>0.76603552083333337</v>
      </c>
      <c r="B2922" s="145" t="s">
        <v>165</v>
      </c>
      <c r="C2922">
        <v>2921</v>
      </c>
      <c r="D2922">
        <v>1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1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1</v>
      </c>
      <c r="S2922">
        <v>1</v>
      </c>
    </row>
    <row r="2923" spans="1:19" x14ac:dyDescent="0.25">
      <c r="A2923" s="1">
        <v>0.76603563657407403</v>
      </c>
      <c r="B2923" s="145" t="s">
        <v>165</v>
      </c>
      <c r="C2923">
        <v>2922</v>
      </c>
      <c r="D2923">
        <v>1</v>
      </c>
      <c r="E2923">
        <v>1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1</v>
      </c>
      <c r="S2923">
        <v>1</v>
      </c>
    </row>
    <row r="2924" spans="1:19" x14ac:dyDescent="0.25">
      <c r="A2924" s="1">
        <v>0.7660357523148148</v>
      </c>
      <c r="B2924" s="145" t="s">
        <v>165</v>
      </c>
      <c r="C2924">
        <v>2923</v>
      </c>
      <c r="D2924">
        <v>1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1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1</v>
      </c>
      <c r="S2924">
        <v>1</v>
      </c>
    </row>
    <row r="2925" spans="1:19" x14ac:dyDescent="0.25">
      <c r="A2925" s="1">
        <v>0.76603586805555557</v>
      </c>
      <c r="B2925" s="145" t="s">
        <v>165</v>
      </c>
      <c r="C2925">
        <v>2924</v>
      </c>
      <c r="D2925">
        <v>1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1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1</v>
      </c>
      <c r="S2925">
        <v>1</v>
      </c>
    </row>
    <row r="2926" spans="1:19" x14ac:dyDescent="0.25">
      <c r="A2926" s="1">
        <v>0.76603598379629634</v>
      </c>
      <c r="B2926" s="145" t="s">
        <v>2</v>
      </c>
      <c r="C2926">
        <v>2925</v>
      </c>
      <c r="D2926">
        <v>0</v>
      </c>
      <c r="E2926">
        <v>1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1</v>
      </c>
      <c r="S2926">
        <v>1</v>
      </c>
    </row>
    <row r="2927" spans="1:19" x14ac:dyDescent="0.25">
      <c r="A2927" s="1">
        <v>0.766036099537037</v>
      </c>
      <c r="B2927" s="145" t="s">
        <v>165</v>
      </c>
      <c r="C2927">
        <v>2926</v>
      </c>
      <c r="D2927">
        <v>1</v>
      </c>
      <c r="E2927">
        <v>1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1</v>
      </c>
      <c r="S2927">
        <v>1</v>
      </c>
    </row>
    <row r="2928" spans="1:19" x14ac:dyDescent="0.25">
      <c r="A2928" s="1">
        <v>0.76603621527777777</v>
      </c>
      <c r="B2928" s="145" t="s">
        <v>165</v>
      </c>
      <c r="C2928">
        <v>2927</v>
      </c>
      <c r="D2928">
        <v>1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1</v>
      </c>
      <c r="S2928">
        <v>1</v>
      </c>
    </row>
    <row r="2929" spans="1:19" x14ac:dyDescent="0.25">
      <c r="A2929" s="1">
        <v>0.76603633101851853</v>
      </c>
      <c r="B2929" s="145" t="s">
        <v>165</v>
      </c>
      <c r="C2929">
        <v>2928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1</v>
      </c>
      <c r="S2929">
        <v>1</v>
      </c>
    </row>
    <row r="2930" spans="1:19" x14ac:dyDescent="0.25">
      <c r="A2930" s="1">
        <v>0.7660364467592593</v>
      </c>
      <c r="B2930" s="145" t="s">
        <v>165</v>
      </c>
      <c r="C2930">
        <v>2929</v>
      </c>
      <c r="D2930">
        <v>1</v>
      </c>
      <c r="E2930">
        <v>1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1</v>
      </c>
      <c r="S2930">
        <v>1</v>
      </c>
    </row>
    <row r="2931" spans="1:19" x14ac:dyDescent="0.25">
      <c r="A2931" s="1">
        <v>0.76603656249999996</v>
      </c>
      <c r="B2931" s="145" t="s">
        <v>165</v>
      </c>
      <c r="C2931">
        <v>2930</v>
      </c>
      <c r="D2931">
        <v>1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1</v>
      </c>
      <c r="S2931">
        <v>1</v>
      </c>
    </row>
    <row r="2932" spans="1:19" x14ac:dyDescent="0.25">
      <c r="A2932" s="1">
        <v>0.76603667824074073</v>
      </c>
      <c r="B2932" s="145" t="s">
        <v>2</v>
      </c>
      <c r="C2932">
        <v>2931</v>
      </c>
      <c r="D2932">
        <v>0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1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1</v>
      </c>
      <c r="S2932">
        <v>1</v>
      </c>
    </row>
    <row r="2933" spans="1:19" x14ac:dyDescent="0.25">
      <c r="A2933" s="1">
        <v>0.7660367939814815</v>
      </c>
      <c r="B2933" s="145" t="s">
        <v>165</v>
      </c>
      <c r="C2933">
        <v>2932</v>
      </c>
      <c r="D2933">
        <v>1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1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1</v>
      </c>
      <c r="S2933">
        <v>1</v>
      </c>
    </row>
    <row r="2934" spans="1:19" x14ac:dyDescent="0.25">
      <c r="A2934" s="1">
        <v>0.76603690972222227</v>
      </c>
      <c r="B2934" s="145" t="s">
        <v>165</v>
      </c>
      <c r="C2934">
        <v>2933</v>
      </c>
      <c r="D2934">
        <v>1</v>
      </c>
      <c r="E2934">
        <v>1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</row>
    <row r="2935" spans="1:19" x14ac:dyDescent="0.25">
      <c r="A2935" s="1">
        <v>0.76603702546296293</v>
      </c>
      <c r="B2935" s="145" t="s">
        <v>165</v>
      </c>
      <c r="C2935">
        <v>2934</v>
      </c>
      <c r="D2935">
        <v>1</v>
      </c>
      <c r="E2935">
        <v>1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</row>
    <row r="2936" spans="1:19" x14ac:dyDescent="0.25">
      <c r="A2936" s="1">
        <v>0.7660371412037037</v>
      </c>
      <c r="B2936" s="145" t="s">
        <v>165</v>
      </c>
      <c r="C2936">
        <v>2935</v>
      </c>
      <c r="D2936">
        <v>1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1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1</v>
      </c>
      <c r="S2936">
        <v>1</v>
      </c>
    </row>
    <row r="2937" spans="1:19" x14ac:dyDescent="0.25">
      <c r="A2937" s="1">
        <v>0.76603725694444447</v>
      </c>
      <c r="B2937" s="145" t="s">
        <v>165</v>
      </c>
      <c r="C2937">
        <v>2936</v>
      </c>
      <c r="D2937">
        <v>1</v>
      </c>
      <c r="E2937">
        <v>1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1</v>
      </c>
      <c r="S2937">
        <v>1</v>
      </c>
    </row>
    <row r="2938" spans="1:19" x14ac:dyDescent="0.25">
      <c r="A2938" s="1">
        <v>0.76603737268518524</v>
      </c>
      <c r="B2938" s="145" t="s">
        <v>2</v>
      </c>
      <c r="C2938">
        <v>2937</v>
      </c>
      <c r="D2938">
        <v>0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1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1</v>
      </c>
      <c r="S2938">
        <v>1</v>
      </c>
    </row>
    <row r="2939" spans="1:19" x14ac:dyDescent="0.25">
      <c r="A2939" s="1">
        <v>0.76603748842592589</v>
      </c>
      <c r="B2939" s="145" t="s">
        <v>165</v>
      </c>
      <c r="C2939">
        <v>2938</v>
      </c>
      <c r="D2939">
        <v>1</v>
      </c>
      <c r="E2939">
        <v>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1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1</v>
      </c>
      <c r="S2939">
        <v>1</v>
      </c>
    </row>
    <row r="2940" spans="1:19" x14ac:dyDescent="0.25">
      <c r="A2940" s="1">
        <v>0.76603760416666666</v>
      </c>
      <c r="B2940" s="145" t="s">
        <v>165</v>
      </c>
      <c r="C2940">
        <v>2939</v>
      </c>
      <c r="D2940">
        <v>1</v>
      </c>
      <c r="E2940">
        <v>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1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1</v>
      </c>
      <c r="S2940">
        <v>1</v>
      </c>
    </row>
    <row r="2941" spans="1:19" x14ac:dyDescent="0.25">
      <c r="A2941" s="1">
        <v>0.76603771990740743</v>
      </c>
      <c r="B2941" s="145" t="s">
        <v>165</v>
      </c>
      <c r="C2941">
        <v>2940</v>
      </c>
      <c r="D2941">
        <v>1</v>
      </c>
      <c r="E2941">
        <v>1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1</v>
      </c>
      <c r="S2941">
        <v>1</v>
      </c>
    </row>
    <row r="2942" spans="1:19" x14ac:dyDescent="0.25">
      <c r="A2942" s="1">
        <v>0.7660378356481482</v>
      </c>
      <c r="B2942" s="145" t="s">
        <v>165</v>
      </c>
      <c r="C2942">
        <v>2941</v>
      </c>
      <c r="D2942">
        <v>1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1</v>
      </c>
      <c r="S2942">
        <v>1</v>
      </c>
    </row>
    <row r="2943" spans="1:19" x14ac:dyDescent="0.25">
      <c r="A2943" s="1">
        <v>0.7660380555555556</v>
      </c>
      <c r="B2943" s="145" t="s">
        <v>2</v>
      </c>
      <c r="C2943">
        <v>2942</v>
      </c>
      <c r="D2943">
        <v>0</v>
      </c>
      <c r="E2943">
        <v>1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1</v>
      </c>
      <c r="S2943">
        <v>1</v>
      </c>
    </row>
    <row r="2944" spans="1:19" x14ac:dyDescent="0.25">
      <c r="A2944" s="1">
        <v>0.76603817129629626</v>
      </c>
      <c r="B2944" s="145" t="s">
        <v>165</v>
      </c>
      <c r="C2944">
        <v>2943</v>
      </c>
      <c r="D2944">
        <v>1</v>
      </c>
      <c r="E2944">
        <v>1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1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1</v>
      </c>
      <c r="S2944">
        <v>1</v>
      </c>
    </row>
    <row r="2945" spans="1:19" x14ac:dyDescent="0.25">
      <c r="A2945" s="1">
        <v>0.76603828703703702</v>
      </c>
      <c r="B2945" s="145" t="s">
        <v>165</v>
      </c>
      <c r="C2945">
        <v>2944</v>
      </c>
      <c r="D2945">
        <v>1</v>
      </c>
      <c r="E2945">
        <v>1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1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1</v>
      </c>
      <c r="S2945">
        <v>1</v>
      </c>
    </row>
    <row r="2946" spans="1:19" x14ac:dyDescent="0.25">
      <c r="A2946" s="1">
        <v>0.76603840277777779</v>
      </c>
      <c r="B2946" s="145" t="s">
        <v>165</v>
      </c>
      <c r="C2946">
        <v>2945</v>
      </c>
      <c r="D2946">
        <v>1</v>
      </c>
      <c r="E2946">
        <v>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1</v>
      </c>
      <c r="N2946">
        <v>1</v>
      </c>
      <c r="O2946">
        <v>1</v>
      </c>
      <c r="P2946">
        <v>1</v>
      </c>
      <c r="Q2946">
        <v>1</v>
      </c>
      <c r="R2946">
        <v>1</v>
      </c>
      <c r="S2946">
        <v>1</v>
      </c>
    </row>
    <row r="2947" spans="1:19" x14ac:dyDescent="0.25">
      <c r="A2947" s="1">
        <v>0.76603851851851856</v>
      </c>
      <c r="B2947" s="145" t="s">
        <v>165</v>
      </c>
      <c r="C2947">
        <v>2946</v>
      </c>
      <c r="D2947">
        <v>1</v>
      </c>
      <c r="E2947">
        <v>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1</v>
      </c>
      <c r="N2947">
        <v>1</v>
      </c>
      <c r="O2947">
        <v>1</v>
      </c>
      <c r="P2947">
        <v>1</v>
      </c>
      <c r="Q2947">
        <v>1</v>
      </c>
      <c r="R2947">
        <v>1</v>
      </c>
      <c r="S2947">
        <v>1</v>
      </c>
    </row>
    <row r="2948" spans="1:19" x14ac:dyDescent="0.25">
      <c r="A2948" s="1">
        <v>0.76603863425925922</v>
      </c>
      <c r="B2948" s="145" t="s">
        <v>165</v>
      </c>
      <c r="C2948">
        <v>2947</v>
      </c>
      <c r="D2948">
        <v>1</v>
      </c>
      <c r="E2948">
        <v>1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1</v>
      </c>
      <c r="M2948">
        <v>1</v>
      </c>
      <c r="N2948">
        <v>1</v>
      </c>
      <c r="O2948">
        <v>1</v>
      </c>
      <c r="P2948">
        <v>1</v>
      </c>
      <c r="Q2948">
        <v>1</v>
      </c>
      <c r="R2948">
        <v>1</v>
      </c>
      <c r="S2948">
        <v>1</v>
      </c>
    </row>
    <row r="2949" spans="1:19" x14ac:dyDescent="0.25">
      <c r="A2949" s="1">
        <v>0.76603874999999999</v>
      </c>
      <c r="B2949" s="145" t="s">
        <v>2</v>
      </c>
      <c r="C2949">
        <v>2948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1</v>
      </c>
      <c r="O2949">
        <v>1</v>
      </c>
      <c r="P2949">
        <v>1</v>
      </c>
      <c r="Q2949">
        <v>1</v>
      </c>
      <c r="R2949">
        <v>1</v>
      </c>
      <c r="S2949">
        <v>1</v>
      </c>
    </row>
    <row r="2950" spans="1:19" x14ac:dyDescent="0.25">
      <c r="A2950" s="1">
        <v>0.76603886574074076</v>
      </c>
      <c r="B2950" s="145" t="s">
        <v>165</v>
      </c>
      <c r="C2950">
        <v>2949</v>
      </c>
      <c r="D2950">
        <v>1</v>
      </c>
      <c r="E2950">
        <v>1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1</v>
      </c>
      <c r="M2950">
        <v>1</v>
      </c>
      <c r="N2950">
        <v>1</v>
      </c>
      <c r="O2950">
        <v>1</v>
      </c>
      <c r="P2950">
        <v>1</v>
      </c>
      <c r="Q2950">
        <v>1</v>
      </c>
      <c r="R2950">
        <v>1</v>
      </c>
      <c r="S2950">
        <v>1</v>
      </c>
    </row>
    <row r="2951" spans="1:19" x14ac:dyDescent="0.25">
      <c r="A2951" s="1">
        <v>0.76603898148148153</v>
      </c>
      <c r="B2951" s="145" t="s">
        <v>165</v>
      </c>
      <c r="C2951">
        <v>2950</v>
      </c>
      <c r="D2951">
        <v>1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1</v>
      </c>
      <c r="M2951">
        <v>1</v>
      </c>
      <c r="N2951">
        <v>1</v>
      </c>
      <c r="O2951">
        <v>1</v>
      </c>
      <c r="P2951">
        <v>1</v>
      </c>
      <c r="Q2951">
        <v>1</v>
      </c>
      <c r="R2951">
        <v>1</v>
      </c>
      <c r="S2951">
        <v>1</v>
      </c>
    </row>
    <row r="2952" spans="1:19" x14ac:dyDescent="0.25">
      <c r="A2952" s="1">
        <v>0.76603909722222219</v>
      </c>
      <c r="B2952" s="145" t="s">
        <v>165</v>
      </c>
      <c r="C2952">
        <v>2951</v>
      </c>
      <c r="D2952">
        <v>1</v>
      </c>
      <c r="E2952">
        <v>1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1</v>
      </c>
      <c r="M2952">
        <v>1</v>
      </c>
      <c r="N2952">
        <v>1</v>
      </c>
      <c r="O2952">
        <v>1</v>
      </c>
      <c r="P2952">
        <v>1</v>
      </c>
      <c r="Q2952">
        <v>1</v>
      </c>
      <c r="R2952">
        <v>1</v>
      </c>
      <c r="S2952">
        <v>1</v>
      </c>
    </row>
    <row r="2953" spans="1:19" x14ac:dyDescent="0.25">
      <c r="A2953" s="1">
        <v>0.76603921296296296</v>
      </c>
      <c r="B2953" s="145" t="s">
        <v>165</v>
      </c>
      <c r="C2953">
        <v>2952</v>
      </c>
      <c r="D2953">
        <v>1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1</v>
      </c>
      <c r="O2953">
        <v>1</v>
      </c>
      <c r="P2953">
        <v>1</v>
      </c>
      <c r="Q2953">
        <v>1</v>
      </c>
      <c r="R2953">
        <v>1</v>
      </c>
      <c r="S2953">
        <v>1</v>
      </c>
    </row>
    <row r="2954" spans="1:19" x14ac:dyDescent="0.25">
      <c r="A2954" s="1">
        <v>0.76603932870370373</v>
      </c>
      <c r="B2954" s="145" t="s">
        <v>165</v>
      </c>
      <c r="C2954">
        <v>2953</v>
      </c>
      <c r="D2954">
        <v>1</v>
      </c>
      <c r="E2954">
        <v>1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1</v>
      </c>
      <c r="M2954">
        <v>1</v>
      </c>
      <c r="N2954">
        <v>1</v>
      </c>
      <c r="O2954">
        <v>1</v>
      </c>
      <c r="P2954">
        <v>1</v>
      </c>
      <c r="Q2954">
        <v>1</v>
      </c>
      <c r="R2954">
        <v>1</v>
      </c>
      <c r="S2954">
        <v>1</v>
      </c>
    </row>
    <row r="2955" spans="1:19" x14ac:dyDescent="0.25">
      <c r="A2955" s="1">
        <v>0.7660394444444445</v>
      </c>
      <c r="B2955" s="145" t="s">
        <v>2</v>
      </c>
      <c r="C2955">
        <v>2954</v>
      </c>
      <c r="D2955">
        <v>0</v>
      </c>
      <c r="E2955">
        <v>1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1</v>
      </c>
      <c r="O2955">
        <v>1</v>
      </c>
      <c r="P2955">
        <v>1</v>
      </c>
      <c r="Q2955">
        <v>1</v>
      </c>
      <c r="R2955">
        <v>1</v>
      </c>
      <c r="S2955">
        <v>1</v>
      </c>
    </row>
    <row r="2956" spans="1:19" x14ac:dyDescent="0.25">
      <c r="A2956" s="1">
        <v>0.76603956018518515</v>
      </c>
      <c r="B2956" s="145" t="s">
        <v>165</v>
      </c>
      <c r="C2956">
        <v>2955</v>
      </c>
      <c r="D2956">
        <v>1</v>
      </c>
      <c r="E2956">
        <v>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1</v>
      </c>
      <c r="O2956">
        <v>1</v>
      </c>
      <c r="P2956">
        <v>1</v>
      </c>
      <c r="Q2956">
        <v>1</v>
      </c>
      <c r="R2956">
        <v>1</v>
      </c>
      <c r="S2956">
        <v>1</v>
      </c>
    </row>
    <row r="2957" spans="1:19" x14ac:dyDescent="0.25">
      <c r="A2957" s="1">
        <v>0.76603967592592592</v>
      </c>
      <c r="B2957" s="145" t="s">
        <v>165</v>
      </c>
      <c r="C2957">
        <v>2956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1</v>
      </c>
      <c r="N2957">
        <v>1</v>
      </c>
      <c r="O2957">
        <v>1</v>
      </c>
      <c r="P2957">
        <v>1</v>
      </c>
      <c r="Q2957">
        <v>1</v>
      </c>
      <c r="R2957">
        <v>1</v>
      </c>
      <c r="S2957">
        <v>1</v>
      </c>
    </row>
    <row r="2958" spans="1:19" x14ac:dyDescent="0.25">
      <c r="A2958" s="1">
        <v>0.76603979166666669</v>
      </c>
      <c r="B2958" s="145" t="s">
        <v>165</v>
      </c>
      <c r="C2958">
        <v>2957</v>
      </c>
      <c r="D2958">
        <v>1</v>
      </c>
      <c r="E2958">
        <v>1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1</v>
      </c>
      <c r="N2958">
        <v>1</v>
      </c>
      <c r="O2958">
        <v>1</v>
      </c>
      <c r="P2958">
        <v>1</v>
      </c>
      <c r="Q2958">
        <v>1</v>
      </c>
      <c r="R2958">
        <v>1</v>
      </c>
      <c r="S2958">
        <v>1</v>
      </c>
    </row>
    <row r="2959" spans="1:19" x14ac:dyDescent="0.25">
      <c r="A2959" s="1">
        <v>0.76603990740740746</v>
      </c>
      <c r="B2959" s="145" t="s">
        <v>165</v>
      </c>
      <c r="C2959">
        <v>2958</v>
      </c>
      <c r="D2959">
        <v>1</v>
      </c>
      <c r="E2959">
        <v>1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1</v>
      </c>
      <c r="M2959">
        <v>1</v>
      </c>
      <c r="N2959">
        <v>1</v>
      </c>
      <c r="O2959">
        <v>1</v>
      </c>
      <c r="P2959">
        <v>1</v>
      </c>
      <c r="Q2959">
        <v>1</v>
      </c>
      <c r="R2959">
        <v>1</v>
      </c>
      <c r="S2959">
        <v>1</v>
      </c>
    </row>
    <row r="2960" spans="1:19" x14ac:dyDescent="0.25">
      <c r="A2960" s="1">
        <v>0.76604002314814812</v>
      </c>
      <c r="B2960" s="145" t="s">
        <v>165</v>
      </c>
      <c r="C2960">
        <v>2959</v>
      </c>
      <c r="D2960">
        <v>1</v>
      </c>
      <c r="E2960">
        <v>1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1</v>
      </c>
      <c r="N2960">
        <v>1</v>
      </c>
      <c r="O2960">
        <v>1</v>
      </c>
      <c r="P2960">
        <v>1</v>
      </c>
      <c r="Q2960">
        <v>1</v>
      </c>
      <c r="R2960">
        <v>1</v>
      </c>
      <c r="S2960">
        <v>1</v>
      </c>
    </row>
    <row r="2961" spans="1:19" x14ac:dyDescent="0.25">
      <c r="A2961" s="1">
        <v>0.76604013888888889</v>
      </c>
      <c r="B2961" s="145" t="s">
        <v>2</v>
      </c>
      <c r="C2961">
        <v>2960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1</v>
      </c>
      <c r="M2961">
        <v>1</v>
      </c>
      <c r="N2961">
        <v>1</v>
      </c>
      <c r="O2961">
        <v>1</v>
      </c>
      <c r="P2961">
        <v>1</v>
      </c>
      <c r="Q2961">
        <v>1</v>
      </c>
      <c r="R2961">
        <v>1</v>
      </c>
      <c r="S2961">
        <v>1</v>
      </c>
    </row>
    <row r="2962" spans="1:19" x14ac:dyDescent="0.25">
      <c r="A2962" s="1">
        <v>0.76604025462962966</v>
      </c>
      <c r="B2962" s="145" t="s">
        <v>165</v>
      </c>
      <c r="C2962">
        <v>2961</v>
      </c>
      <c r="D2962">
        <v>1</v>
      </c>
      <c r="E2962">
        <v>1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1</v>
      </c>
      <c r="M2962">
        <v>1</v>
      </c>
      <c r="N2962">
        <v>1</v>
      </c>
      <c r="O2962">
        <v>1</v>
      </c>
      <c r="P2962">
        <v>1</v>
      </c>
      <c r="Q2962">
        <v>1</v>
      </c>
      <c r="R2962">
        <v>1</v>
      </c>
      <c r="S2962">
        <v>1</v>
      </c>
    </row>
    <row r="2963" spans="1:19" x14ac:dyDescent="0.25">
      <c r="A2963" s="1">
        <v>0.76604037037037032</v>
      </c>
      <c r="B2963" s="145" t="s">
        <v>165</v>
      </c>
      <c r="C2963">
        <v>2962</v>
      </c>
      <c r="D2963">
        <v>1</v>
      </c>
      <c r="E2963">
        <v>1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1</v>
      </c>
      <c r="N2963">
        <v>1</v>
      </c>
      <c r="O2963">
        <v>1</v>
      </c>
      <c r="P2963">
        <v>1</v>
      </c>
      <c r="Q2963">
        <v>1</v>
      </c>
      <c r="R2963">
        <v>1</v>
      </c>
      <c r="S2963">
        <v>1</v>
      </c>
    </row>
    <row r="2964" spans="1:19" x14ac:dyDescent="0.25">
      <c r="A2964" s="1">
        <v>0.76604048611111109</v>
      </c>
      <c r="B2964" s="145" t="s">
        <v>165</v>
      </c>
      <c r="C2964">
        <v>2963</v>
      </c>
      <c r="D2964">
        <v>1</v>
      </c>
      <c r="E2964">
        <v>1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1</v>
      </c>
      <c r="N2964">
        <v>1</v>
      </c>
      <c r="O2964">
        <v>1</v>
      </c>
      <c r="P2964">
        <v>1</v>
      </c>
      <c r="Q2964">
        <v>1</v>
      </c>
      <c r="R2964">
        <v>1</v>
      </c>
      <c r="S2964">
        <v>1</v>
      </c>
    </row>
    <row r="2965" spans="1:19" x14ac:dyDescent="0.25">
      <c r="A2965" s="1">
        <v>0.76604060185185185</v>
      </c>
      <c r="B2965" s="145" t="s">
        <v>165</v>
      </c>
      <c r="C2965">
        <v>2964</v>
      </c>
      <c r="D2965">
        <v>1</v>
      </c>
      <c r="E2965">
        <v>1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1</v>
      </c>
      <c r="N2965">
        <v>1</v>
      </c>
      <c r="O2965">
        <v>1</v>
      </c>
      <c r="P2965">
        <v>1</v>
      </c>
      <c r="Q2965">
        <v>1</v>
      </c>
      <c r="R2965">
        <v>1</v>
      </c>
      <c r="S2965">
        <v>1</v>
      </c>
    </row>
    <row r="2966" spans="1:19" x14ac:dyDescent="0.25">
      <c r="A2966" s="1">
        <v>0.76604071759259262</v>
      </c>
      <c r="B2966" s="145" t="s">
        <v>165</v>
      </c>
      <c r="C2966">
        <v>2965</v>
      </c>
      <c r="D2966">
        <v>1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1</v>
      </c>
      <c r="N2966">
        <v>1</v>
      </c>
      <c r="O2966">
        <v>1</v>
      </c>
      <c r="P2966">
        <v>1</v>
      </c>
      <c r="Q2966">
        <v>1</v>
      </c>
      <c r="R2966">
        <v>1</v>
      </c>
      <c r="S2966">
        <v>1</v>
      </c>
    </row>
    <row r="2967" spans="1:19" x14ac:dyDescent="0.25">
      <c r="A2967" s="1">
        <v>0.76604083333333328</v>
      </c>
      <c r="B2967" s="145" t="s">
        <v>2</v>
      </c>
      <c r="C2967">
        <v>2966</v>
      </c>
      <c r="D2967">
        <v>0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1</v>
      </c>
      <c r="N2967">
        <v>1</v>
      </c>
      <c r="O2967">
        <v>1</v>
      </c>
      <c r="P2967">
        <v>1</v>
      </c>
      <c r="Q2967">
        <v>1</v>
      </c>
      <c r="R2967">
        <v>1</v>
      </c>
      <c r="S2967">
        <v>1</v>
      </c>
    </row>
    <row r="2968" spans="1:19" x14ac:dyDescent="0.25">
      <c r="A2968" s="1">
        <v>0.76604094907407405</v>
      </c>
      <c r="B2968" s="145" t="s">
        <v>165</v>
      </c>
      <c r="C2968">
        <v>2967</v>
      </c>
      <c r="D2968">
        <v>1</v>
      </c>
      <c r="E2968">
        <v>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1</v>
      </c>
      <c r="N2968">
        <v>1</v>
      </c>
      <c r="O2968">
        <v>1</v>
      </c>
      <c r="P2968">
        <v>1</v>
      </c>
      <c r="Q2968">
        <v>1</v>
      </c>
      <c r="R2968">
        <v>1</v>
      </c>
      <c r="S2968">
        <v>1</v>
      </c>
    </row>
    <row r="2969" spans="1:19" x14ac:dyDescent="0.25">
      <c r="A2969" s="1">
        <v>0.76604106481481482</v>
      </c>
      <c r="B2969" s="145" t="s">
        <v>165</v>
      </c>
      <c r="C2969">
        <v>2968</v>
      </c>
      <c r="D2969">
        <v>1</v>
      </c>
      <c r="E2969">
        <v>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1</v>
      </c>
      <c r="N2969">
        <v>1</v>
      </c>
      <c r="O2969">
        <v>1</v>
      </c>
      <c r="P2969">
        <v>1</v>
      </c>
      <c r="Q2969">
        <v>1</v>
      </c>
      <c r="R2969">
        <v>1</v>
      </c>
      <c r="S2969">
        <v>1</v>
      </c>
    </row>
    <row r="2970" spans="1:19" x14ac:dyDescent="0.25">
      <c r="A2970" s="1">
        <v>0.76604118055555559</v>
      </c>
      <c r="B2970" s="145" t="s">
        <v>165</v>
      </c>
      <c r="C2970">
        <v>2969</v>
      </c>
      <c r="D2970">
        <v>1</v>
      </c>
      <c r="E2970">
        <v>1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1</v>
      </c>
      <c r="N2970">
        <v>1</v>
      </c>
      <c r="O2970">
        <v>1</v>
      </c>
      <c r="P2970">
        <v>1</v>
      </c>
      <c r="Q2970">
        <v>1</v>
      </c>
      <c r="R2970">
        <v>1</v>
      </c>
      <c r="S2970">
        <v>1</v>
      </c>
    </row>
    <row r="2971" spans="1:19" x14ac:dyDescent="0.25">
      <c r="A2971" s="1">
        <v>0.76604129629629625</v>
      </c>
      <c r="B2971" s="145" t="s">
        <v>165</v>
      </c>
      <c r="C2971">
        <v>2970</v>
      </c>
      <c r="D2971">
        <v>1</v>
      </c>
      <c r="E2971">
        <v>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1</v>
      </c>
      <c r="N2971">
        <v>1</v>
      </c>
      <c r="O2971">
        <v>1</v>
      </c>
      <c r="P2971">
        <v>1</v>
      </c>
      <c r="Q2971">
        <v>1</v>
      </c>
      <c r="R2971">
        <v>1</v>
      </c>
      <c r="S2971">
        <v>1</v>
      </c>
    </row>
    <row r="2972" spans="1:19" x14ac:dyDescent="0.25">
      <c r="A2972" s="1">
        <v>0.76604141203703702</v>
      </c>
      <c r="B2972" s="145" t="s">
        <v>165</v>
      </c>
      <c r="C2972">
        <v>2971</v>
      </c>
      <c r="D2972">
        <v>1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1</v>
      </c>
      <c r="N2972">
        <v>1</v>
      </c>
      <c r="O2972">
        <v>1</v>
      </c>
      <c r="P2972">
        <v>1</v>
      </c>
      <c r="Q2972">
        <v>1</v>
      </c>
      <c r="R2972">
        <v>1</v>
      </c>
      <c r="S2972">
        <v>1</v>
      </c>
    </row>
    <row r="2973" spans="1:19" x14ac:dyDescent="0.25">
      <c r="A2973" s="1">
        <v>0.76604152777777779</v>
      </c>
      <c r="B2973" s="145" t="s">
        <v>2</v>
      </c>
      <c r="C2973">
        <v>2972</v>
      </c>
      <c r="D2973">
        <v>0</v>
      </c>
      <c r="E2973">
        <v>1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1</v>
      </c>
      <c r="N2973">
        <v>1</v>
      </c>
      <c r="O2973">
        <v>1</v>
      </c>
      <c r="P2973">
        <v>1</v>
      </c>
      <c r="Q2973">
        <v>1</v>
      </c>
      <c r="R2973">
        <v>1</v>
      </c>
      <c r="S2973">
        <v>1</v>
      </c>
    </row>
    <row r="2974" spans="1:19" x14ac:dyDescent="0.25">
      <c r="A2974" s="1">
        <v>0.76604164351851856</v>
      </c>
      <c r="B2974" s="145" t="s">
        <v>165</v>
      </c>
      <c r="C2974">
        <v>2973</v>
      </c>
      <c r="D2974">
        <v>1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1</v>
      </c>
      <c r="M2974">
        <v>1</v>
      </c>
      <c r="N2974">
        <v>1</v>
      </c>
      <c r="O2974">
        <v>1</v>
      </c>
      <c r="P2974">
        <v>1</v>
      </c>
      <c r="Q2974">
        <v>1</v>
      </c>
      <c r="R2974">
        <v>1</v>
      </c>
      <c r="S2974">
        <v>1</v>
      </c>
    </row>
    <row r="2975" spans="1:19" x14ac:dyDescent="0.25">
      <c r="A2975" s="1">
        <v>0.76604175925925921</v>
      </c>
      <c r="B2975" s="145" t="s">
        <v>165</v>
      </c>
      <c r="C2975">
        <v>2974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1</v>
      </c>
      <c r="N2975">
        <v>1</v>
      </c>
      <c r="O2975">
        <v>1</v>
      </c>
      <c r="P2975">
        <v>1</v>
      </c>
      <c r="Q2975">
        <v>1</v>
      </c>
      <c r="R2975">
        <v>1</v>
      </c>
      <c r="S2975">
        <v>1</v>
      </c>
    </row>
    <row r="2976" spans="1:19" x14ac:dyDescent="0.25">
      <c r="A2976" s="1">
        <v>0.76604187499999998</v>
      </c>
      <c r="B2976" s="145" t="s">
        <v>165</v>
      </c>
      <c r="C2976">
        <v>2975</v>
      </c>
      <c r="D2976">
        <v>1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1</v>
      </c>
      <c r="N2976">
        <v>1</v>
      </c>
      <c r="O2976">
        <v>1</v>
      </c>
      <c r="P2976">
        <v>1</v>
      </c>
      <c r="Q2976">
        <v>1</v>
      </c>
      <c r="R2976">
        <v>1</v>
      </c>
      <c r="S2976">
        <v>1</v>
      </c>
    </row>
    <row r="2977" spans="1:19" x14ac:dyDescent="0.25">
      <c r="A2977" s="1">
        <v>0.76604199074074075</v>
      </c>
      <c r="B2977" s="145" t="s">
        <v>165</v>
      </c>
      <c r="C2977">
        <v>2976</v>
      </c>
      <c r="D2977">
        <v>1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1</v>
      </c>
      <c r="N2977">
        <v>1</v>
      </c>
      <c r="O2977">
        <v>1</v>
      </c>
      <c r="P2977">
        <v>1</v>
      </c>
      <c r="Q2977">
        <v>1</v>
      </c>
      <c r="R2977">
        <v>1</v>
      </c>
      <c r="S2977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192B-BCC7-4CD2-996F-A9552153156D}">
  <dimension ref="A1:AF206"/>
  <sheetViews>
    <sheetView showGridLines="0" tabSelected="1" topLeftCell="A34" zoomScale="85" zoomScaleNormal="85" workbookViewId="0">
      <selection activeCell="K22" sqref="K22"/>
    </sheetView>
  </sheetViews>
  <sheetFormatPr defaultRowHeight="15" x14ac:dyDescent="0.25"/>
  <cols>
    <col min="1" max="1" width="33.7109375" style="44" customWidth="1"/>
    <col min="2" max="3" width="13.28515625" style="44" customWidth="1"/>
    <col min="4" max="4" width="15.28515625" style="44" customWidth="1"/>
    <col min="5" max="5" width="19" style="44" customWidth="1"/>
    <col min="6" max="6" width="5.7109375" style="44" customWidth="1"/>
    <col min="7" max="7" width="37" style="44" customWidth="1"/>
    <col min="8" max="9" width="13.28515625" style="44" customWidth="1"/>
    <col min="10" max="10" width="15.28515625" style="44" customWidth="1"/>
    <col min="11" max="11" width="25" style="44" customWidth="1"/>
    <col min="12" max="12" width="13" style="44" customWidth="1"/>
    <col min="13" max="13" width="11.85546875" style="44" customWidth="1"/>
    <col min="14" max="15" width="5.7109375" style="44" customWidth="1"/>
    <col min="16" max="16" width="30.42578125" style="44" customWidth="1"/>
    <col min="17" max="17" width="26.7109375" style="44" customWidth="1"/>
    <col min="18" max="18" width="17.140625" style="44" customWidth="1"/>
    <col min="19" max="19" width="21" style="44" customWidth="1"/>
    <col min="20" max="20" width="9.140625" style="44"/>
    <col min="21" max="21" width="14.140625" style="44" bestFit="1" customWidth="1"/>
    <col min="22" max="22" width="8.7109375" style="44" bestFit="1" customWidth="1"/>
    <col min="23" max="23" width="8.140625" style="44" bestFit="1" customWidth="1"/>
    <col min="24" max="16384" width="9.140625" style="44"/>
  </cols>
  <sheetData>
    <row r="1" spans="1:32" ht="18.75" x14ac:dyDescent="0.3">
      <c r="A1" s="100" t="s">
        <v>138</v>
      </c>
      <c r="B1" s="101"/>
      <c r="C1" s="101"/>
      <c r="D1" s="101"/>
      <c r="E1" s="101"/>
      <c r="G1" s="105" t="s">
        <v>139</v>
      </c>
      <c r="H1" s="101"/>
      <c r="I1" s="101"/>
      <c r="J1" s="101"/>
      <c r="K1" s="101"/>
      <c r="P1" s="68" t="s">
        <v>163</v>
      </c>
      <c r="Q1" s="69"/>
      <c r="R1"/>
      <c r="S1"/>
    </row>
    <row r="2" spans="1:32" ht="15.75" thickBot="1" x14ac:dyDescent="0.3">
      <c r="P2" s="45"/>
      <c r="Q2" s="46"/>
      <c r="R2"/>
      <c r="S2"/>
    </row>
    <row r="3" spans="1:32" x14ac:dyDescent="0.25">
      <c r="A3" s="102" t="s">
        <v>7</v>
      </c>
      <c r="B3" s="103"/>
      <c r="C3" s="103"/>
      <c r="D3" s="104"/>
      <c r="G3" s="106" t="s">
        <v>7</v>
      </c>
      <c r="H3" s="103"/>
      <c r="I3" s="103"/>
      <c r="J3" s="104"/>
      <c r="P3" s="48" t="s">
        <v>55</v>
      </c>
      <c r="Q3" s="71" t="s">
        <v>166</v>
      </c>
      <c r="R3"/>
      <c r="S3"/>
    </row>
    <row r="4" spans="1:32" x14ac:dyDescent="0.25">
      <c r="A4" s="82" t="s">
        <v>8</v>
      </c>
      <c r="B4" s="50" t="s">
        <v>23</v>
      </c>
      <c r="C4" s="50" t="s">
        <v>39</v>
      </c>
      <c r="D4" s="83" t="s">
        <v>5</v>
      </c>
      <c r="G4" s="75" t="s">
        <v>8</v>
      </c>
      <c r="H4" s="51" t="s">
        <v>23</v>
      </c>
      <c r="I4" s="51" t="s">
        <v>39</v>
      </c>
      <c r="J4" s="76" t="s">
        <v>5</v>
      </c>
      <c r="P4" s="45"/>
      <c r="Q4" s="46"/>
      <c r="R4"/>
      <c r="S4"/>
    </row>
    <row r="5" spans="1:32" x14ac:dyDescent="0.25">
      <c r="A5" s="77" t="s">
        <v>11</v>
      </c>
      <c r="B5" s="7">
        <f ca="1">COUNTA(INDIRECT("'"&amp;$Q$3&amp;"'!"&amp;$Q$6&amp;":"&amp;$Q$6))</f>
        <v>994</v>
      </c>
      <c r="C5" s="47" t="s">
        <v>41</v>
      </c>
      <c r="D5" s="78"/>
      <c r="G5" s="77" t="s">
        <v>11</v>
      </c>
      <c r="H5" s="7">
        <f ca="1">COUNTA(INDIRECT("'"&amp;$Q$3&amp;"'!"&amp;$Q$7&amp;":"&amp;$Q$7))</f>
        <v>994</v>
      </c>
      <c r="I5" s="47" t="s">
        <v>41</v>
      </c>
      <c r="J5" s="78"/>
      <c r="P5" s="45" t="s">
        <v>57</v>
      </c>
      <c r="Q5" s="72" t="s">
        <v>58</v>
      </c>
      <c r="R5"/>
      <c r="S5"/>
    </row>
    <row r="6" spans="1:32" x14ac:dyDescent="0.25">
      <c r="A6" s="77" t="s">
        <v>106</v>
      </c>
      <c r="B6" s="7" cm="1">
        <f t="array" aca="1" ref="B6" ca="1">SUMPRODUCT((INDIRECT("'"&amp;$Q$3&amp;"'!"&amp;$Q$6&amp;":"&amp;$Q$6)=1)*1)</f>
        <v>0</v>
      </c>
      <c r="C6" s="47" t="s">
        <v>41</v>
      </c>
      <c r="D6" s="78"/>
      <c r="G6" s="77" t="s">
        <v>106</v>
      </c>
      <c r="H6" s="7" cm="1">
        <f t="array" aca="1" ref="H6" ca="1">SUMPRODUCT((INDIRECT("'"&amp;$Q$3&amp;"'!"&amp;$Q$7&amp;":"&amp;$Q$7)=1)*1)</f>
        <v>125</v>
      </c>
      <c r="I6" s="47" t="s">
        <v>41</v>
      </c>
      <c r="J6" s="78"/>
      <c r="P6" s="45" t="s">
        <v>122</v>
      </c>
      <c r="Q6" s="73" t="s">
        <v>104</v>
      </c>
      <c r="R6"/>
      <c r="S6"/>
    </row>
    <row r="7" spans="1:32" x14ac:dyDescent="0.25">
      <c r="A7" s="77" t="s">
        <v>107</v>
      </c>
      <c r="B7" s="7">
        <f ca="1">B5-B6</f>
        <v>994</v>
      </c>
      <c r="C7" s="47" t="s">
        <v>41</v>
      </c>
      <c r="D7" s="78"/>
      <c r="G7" s="77" t="s">
        <v>107</v>
      </c>
      <c r="H7" s="7">
        <f ca="1">H5-H6</f>
        <v>869</v>
      </c>
      <c r="I7" s="47" t="s">
        <v>41</v>
      </c>
      <c r="J7" s="78"/>
      <c r="P7" s="45" t="s">
        <v>59</v>
      </c>
      <c r="Q7" s="74" t="s">
        <v>60</v>
      </c>
      <c r="R7"/>
      <c r="S7"/>
    </row>
    <row r="8" spans="1:32" x14ac:dyDescent="0.25">
      <c r="A8" s="77" t="s">
        <v>14</v>
      </c>
      <c r="B8" s="7">
        <f ca="1">IFERROR(B6/B5*100,0)</f>
        <v>0</v>
      </c>
      <c r="C8" s="47" t="s">
        <v>30</v>
      </c>
      <c r="D8" s="78"/>
      <c r="G8" s="77" t="s">
        <v>14</v>
      </c>
      <c r="H8" s="7">
        <f ca="1">IFERROR(H6/H5*100,0)</f>
        <v>12.575452716297786</v>
      </c>
      <c r="I8" s="47" t="s">
        <v>30</v>
      </c>
      <c r="J8" s="78"/>
      <c r="P8" s="45"/>
      <c r="Q8" s="46"/>
      <c r="R8"/>
      <c r="S8"/>
    </row>
    <row r="9" spans="1:32" x14ac:dyDescent="0.25">
      <c r="A9" s="77" t="s">
        <v>15</v>
      </c>
      <c r="B9" s="7" cm="1">
        <f t="array" aca="1" ref="B9" ca="1">SUMPRODUCT((INDIRECT("'"&amp;$Q$3&amp;"'!"&amp;$Q$6&amp;"2:"&amp;$Q$6&amp;"10000")=1)*(INDIRECT("'"&amp;$Q$3&amp;"'!"&amp;$Q$6&amp;"1:"&amp;$Q$6&amp;"9999")=0)*1)</f>
        <v>0</v>
      </c>
      <c r="C9" s="47" t="s">
        <v>42</v>
      </c>
      <c r="D9" s="78" t="s">
        <v>108</v>
      </c>
      <c r="G9" s="77" t="s">
        <v>15</v>
      </c>
      <c r="H9" s="7" cm="1">
        <f t="array" aca="1" ref="H9" ca="1">SUMPRODUCT((INDIRECT("'"&amp;$Q$3&amp;"'!"&amp;$Q$7&amp;"2:"&amp;$Q$7&amp;"10000")=1)*(INDIRECT("'"&amp;$Q$3&amp;"'!"&amp;$Q$7&amp;"1:"&amp;$Q$7&amp;"9999")=0)*1)</f>
        <v>17</v>
      </c>
      <c r="I9" s="47" t="s">
        <v>42</v>
      </c>
      <c r="J9" s="78" t="s">
        <v>108</v>
      </c>
      <c r="P9" s="70" t="s">
        <v>164</v>
      </c>
      <c r="Q9" s="46"/>
      <c r="R9"/>
      <c r="S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5">
      <c r="A10" s="77" t="s">
        <v>16</v>
      </c>
      <c r="B10" s="7" cm="1">
        <f t="array" aca="1" ref="B10" ca="1">SUMPRODUCT((INDIRECT("'"&amp;$Q$3&amp;"'!"&amp;$Q$6&amp;"2:"&amp;$Q$6&amp;"10000")=0)*(INDIRECT("'"&amp;$Q$3&amp;"'!"&amp;$Q$6&amp;"1:"&amp;$Q$6&amp;"9999")=1)*1)</f>
        <v>0</v>
      </c>
      <c r="C10" s="47" t="s">
        <v>42</v>
      </c>
      <c r="D10" s="78" t="s">
        <v>109</v>
      </c>
      <c r="G10" s="77" t="s">
        <v>16</v>
      </c>
      <c r="H10" s="7" cm="1">
        <f t="array" aca="1" ref="H10" ca="1">SUMPRODUCT((INDIRECT("'"&amp;$Q$3&amp;"'!"&amp;$Q$7&amp;"2:"&amp;$Q$7&amp;"10000")=0)*(INDIRECT("'"&amp;$Q$3&amp;"'!"&amp;$Q$7&amp;"1:"&amp;$Q$7&amp;"9999")=1)*1)</f>
        <v>17</v>
      </c>
      <c r="I10" s="47" t="s">
        <v>42</v>
      </c>
      <c r="J10" s="78" t="s">
        <v>109</v>
      </c>
      <c r="P10" s="45"/>
      <c r="Q10" s="46"/>
      <c r="R10"/>
      <c r="S10"/>
    </row>
    <row r="11" spans="1:32" x14ac:dyDescent="0.25">
      <c r="A11" s="77" t="s">
        <v>17</v>
      </c>
      <c r="B11" s="7">
        <f ca="1">B9+B10</f>
        <v>0</v>
      </c>
      <c r="C11" s="47" t="s">
        <v>42</v>
      </c>
      <c r="D11" s="78"/>
      <c r="G11" s="77" t="s">
        <v>17</v>
      </c>
      <c r="H11" s="7">
        <f ca="1">H9+H10</f>
        <v>34</v>
      </c>
      <c r="I11" s="47" t="s">
        <v>42</v>
      </c>
      <c r="J11" s="78"/>
      <c r="P11" s="45"/>
      <c r="Q11" s="46"/>
      <c r="R11"/>
      <c r="S11"/>
    </row>
    <row r="12" spans="1:32" ht="15.75" thickBot="1" x14ac:dyDescent="0.3">
      <c r="A12" s="79" t="s">
        <v>21</v>
      </c>
      <c r="B12" s="84">
        <f ca="1">$Q$15</f>
        <v>10.004000000003188</v>
      </c>
      <c r="C12" s="80" t="s">
        <v>43</v>
      </c>
      <c r="D12" s="81"/>
      <c r="G12" s="79" t="s">
        <v>21</v>
      </c>
      <c r="H12" s="84">
        <f ca="1">$Q$15</f>
        <v>10.004000000003188</v>
      </c>
      <c r="I12" s="80" t="s">
        <v>43</v>
      </c>
      <c r="J12" s="81"/>
      <c r="P12" s="45" t="s">
        <v>66</v>
      </c>
      <c r="Q12" s="31">
        <f ca="1">IFERROR($Q$15/($Q$13-1),0.009802419)</f>
        <v>1.0074521651564137E-2</v>
      </c>
      <c r="R12"/>
      <c r="S12"/>
    </row>
    <row r="13" spans="1:32" ht="15.75" thickBot="1" x14ac:dyDescent="0.3">
      <c r="P13" s="45" t="s">
        <v>75</v>
      </c>
      <c r="Q13" s="31">
        <f ca="1">COUNTA(INDIRECT("'"&amp;$Q$3&amp;"'!"&amp;$Q$5&amp;":"&amp;$Q$5))</f>
        <v>994</v>
      </c>
      <c r="R13"/>
      <c r="S13"/>
    </row>
    <row r="14" spans="1:32" x14ac:dyDescent="0.25">
      <c r="A14" s="102" t="s">
        <v>137</v>
      </c>
      <c r="B14" s="103"/>
      <c r="C14" s="103"/>
      <c r="D14" s="103"/>
      <c r="E14" s="104"/>
      <c r="G14" s="106" t="s">
        <v>140</v>
      </c>
      <c r="H14" s="103"/>
      <c r="I14" s="103"/>
      <c r="J14" s="103"/>
      <c r="K14" s="104"/>
      <c r="P14" s="45" t="s">
        <v>76</v>
      </c>
      <c r="Q14" s="31">
        <f ca="1">IFERROR(1/$Q$12,0)</f>
        <v>99.260295881615704</v>
      </c>
      <c r="R14"/>
      <c r="S14"/>
    </row>
    <row r="15" spans="1:32" x14ac:dyDescent="0.25">
      <c r="A15" s="82" t="s">
        <v>8</v>
      </c>
      <c r="B15" s="50" t="s">
        <v>63</v>
      </c>
      <c r="C15" s="50" t="s">
        <v>64</v>
      </c>
      <c r="D15" s="50" t="s">
        <v>65</v>
      </c>
      <c r="E15" s="83" t="s">
        <v>5</v>
      </c>
      <c r="G15" s="75" t="s">
        <v>8</v>
      </c>
      <c r="H15" s="51" t="s">
        <v>63</v>
      </c>
      <c r="I15" s="51" t="s">
        <v>64</v>
      </c>
      <c r="J15" s="51" t="s">
        <v>65</v>
      </c>
      <c r="K15" s="76" t="s">
        <v>5</v>
      </c>
      <c r="P15" s="49" t="s">
        <v>105</v>
      </c>
      <c r="Q15" s="32" cm="1">
        <f t="array" aca="1" ref="Q15" ca="1">IFERROR((INDIRECT("'"&amp;$Q$3&amp;"'!A"&amp;$Q$13)-INDIRECT("'"&amp;$Q$3&amp;"'!A2"))*86400,0)</f>
        <v>10.004000000003188</v>
      </c>
      <c r="R15" s="52"/>
    </row>
    <row r="16" spans="1:32" x14ac:dyDescent="0.25">
      <c r="A16" s="77" t="s">
        <v>110</v>
      </c>
      <c r="B16" s="7">
        <f ca="1">IFERROR((B6/B9)*$Q$12*1000000,0)</f>
        <v>0</v>
      </c>
      <c r="C16" s="7">
        <f ca="1">B16/1000</f>
        <v>0</v>
      </c>
      <c r="D16" s="7">
        <f ca="1">C16/1000</f>
        <v>0</v>
      </c>
      <c r="E16" s="78" t="s">
        <v>113</v>
      </c>
      <c r="G16" s="77" t="s">
        <v>110</v>
      </c>
      <c r="H16" s="7">
        <f ca="1">IFERROR((H6/H9)*$Q$12*1000000,0)</f>
        <v>74077.365085030426</v>
      </c>
      <c r="I16" s="7">
        <f ca="1">H16/1000</f>
        <v>74.077365085030422</v>
      </c>
      <c r="J16" s="7">
        <f ca="1">I16/1000</f>
        <v>7.4077365085030419E-2</v>
      </c>
      <c r="K16" s="78" t="s">
        <v>113</v>
      </c>
      <c r="P16" s="66" t="s">
        <v>130</v>
      </c>
      <c r="Q16" s="66" t="s">
        <v>131</v>
      </c>
      <c r="R16" s="66" t="s">
        <v>30</v>
      </c>
    </row>
    <row r="17" spans="1:27" x14ac:dyDescent="0.25">
      <c r="A17" s="77" t="s">
        <v>111</v>
      </c>
      <c r="B17" s="7">
        <f ca="1">IFERROR((B7/B10)*$Q$12*1000000,0)</f>
        <v>0</v>
      </c>
      <c r="C17" s="7">
        <f ca="1">B17/1000</f>
        <v>0</v>
      </c>
      <c r="D17" s="7">
        <f ca="1">C17/1000</f>
        <v>0</v>
      </c>
      <c r="E17" s="78" t="s">
        <v>114</v>
      </c>
      <c r="G17" s="77" t="s">
        <v>111</v>
      </c>
      <c r="H17" s="7">
        <f ca="1">IFERROR((H7/H10)*$Q$12*1000000,0)</f>
        <v>514985.84207113151</v>
      </c>
      <c r="I17" s="7">
        <f ca="1">H17/1000</f>
        <v>514.98584207113151</v>
      </c>
      <c r="J17" s="7">
        <f ca="1">I17/1000</f>
        <v>0.51498584207113152</v>
      </c>
      <c r="K17" s="78" t="s">
        <v>114</v>
      </c>
      <c r="P17" s="47" t="s">
        <v>132</v>
      </c>
      <c r="Q17" s="7">
        <f ca="1">B6</f>
        <v>0</v>
      </c>
      <c r="R17" s="85">
        <f ca="1">IF(Q17+Q18=0,0,Q17/(Q17+Q18)*100)</f>
        <v>0</v>
      </c>
    </row>
    <row r="18" spans="1:27" x14ac:dyDescent="0.25">
      <c r="A18" s="77" t="s">
        <v>112</v>
      </c>
      <c r="B18" s="7">
        <f ca="1">B16+B17</f>
        <v>0</v>
      </c>
      <c r="C18" s="7">
        <f ca="1">C16+C17</f>
        <v>0</v>
      </c>
      <c r="D18" s="7">
        <f ca="1">D16+D17</f>
        <v>0</v>
      </c>
      <c r="E18" s="78" t="s">
        <v>103</v>
      </c>
      <c r="G18" s="77" t="s">
        <v>112</v>
      </c>
      <c r="H18" s="7">
        <f ca="1">H16+H17</f>
        <v>589063.20715616189</v>
      </c>
      <c r="I18" s="7">
        <f ca="1">I16+I17</f>
        <v>589.06320715616198</v>
      </c>
      <c r="J18" s="7">
        <f ca="1">J16+J17</f>
        <v>0.58906320715616189</v>
      </c>
      <c r="K18" s="78" t="s">
        <v>103</v>
      </c>
      <c r="P18" s="47" t="s">
        <v>133</v>
      </c>
      <c r="Q18" s="7">
        <f ca="1">B5-Q17</f>
        <v>994</v>
      </c>
      <c r="R18" s="85">
        <f ca="1">IF(B5=0,0,Q18/B5)</f>
        <v>1</v>
      </c>
    </row>
    <row r="19" spans="1:27" x14ac:dyDescent="0.25">
      <c r="A19" s="77" t="s">
        <v>48</v>
      </c>
      <c r="B19" s="7">
        <f ca="1">$Q$12*1000000</f>
        <v>10074.521651564137</v>
      </c>
      <c r="C19" s="7">
        <f ca="1">B19/1000</f>
        <v>10.074521651564137</v>
      </c>
      <c r="D19" s="7">
        <f ca="1">C19/1000</f>
        <v>1.0074521651564137E-2</v>
      </c>
      <c r="E19" s="78" t="s">
        <v>70</v>
      </c>
      <c r="G19" s="77" t="s">
        <v>48</v>
      </c>
      <c r="H19" s="7">
        <f ca="1">$Q$12*1000000</f>
        <v>10074.521651564137</v>
      </c>
      <c r="I19" s="7">
        <f ca="1">H19/1000</f>
        <v>10.074521651564137</v>
      </c>
      <c r="J19" s="7">
        <f ca="1">I19/1000</f>
        <v>1.0074521651564137E-2</v>
      </c>
      <c r="K19" s="78" t="s">
        <v>70</v>
      </c>
      <c r="P19" s="47"/>
      <c r="Q19" s="47"/>
      <c r="R19" s="47"/>
    </row>
    <row r="20" spans="1:27" ht="15.75" thickBot="1" x14ac:dyDescent="0.3">
      <c r="A20" s="79" t="s">
        <v>49</v>
      </c>
      <c r="B20" s="84">
        <f ca="1">B16*2</f>
        <v>0</v>
      </c>
      <c r="C20" s="84">
        <f ca="1">B20/1000</f>
        <v>0</v>
      </c>
      <c r="D20" s="84">
        <f ca="1">C20/1000</f>
        <v>0</v>
      </c>
      <c r="E20" s="81" t="s">
        <v>71</v>
      </c>
      <c r="G20" s="79" t="s">
        <v>49</v>
      </c>
      <c r="H20" s="84">
        <f ca="1">H16*2</f>
        <v>148154.73017006085</v>
      </c>
      <c r="I20" s="84">
        <f ca="1">H20/1000</f>
        <v>148.15473017006084</v>
      </c>
      <c r="J20" s="84">
        <f ca="1">I20/1000</f>
        <v>0.14815473017006084</v>
      </c>
      <c r="K20" s="81" t="s">
        <v>71</v>
      </c>
      <c r="P20" s="67" t="s">
        <v>134</v>
      </c>
      <c r="Q20" s="67" t="s">
        <v>131</v>
      </c>
      <c r="R20" s="67" t="s">
        <v>30</v>
      </c>
    </row>
    <row r="21" spans="1:27" x14ac:dyDescent="0.25">
      <c r="P21" s="47" t="s">
        <v>132</v>
      </c>
      <c r="Q21" s="7">
        <f ca="1">H6</f>
        <v>125</v>
      </c>
      <c r="R21" s="85">
        <f ca="1">IF(Q21+Q22=0,0,Q21/(Q21+Q22)*100)</f>
        <v>12.575452716297786</v>
      </c>
    </row>
    <row r="22" spans="1:27" x14ac:dyDescent="0.25">
      <c r="P22" s="47" t="s">
        <v>133</v>
      </c>
      <c r="Q22" s="7">
        <f ca="1">H5-Q21</f>
        <v>869</v>
      </c>
      <c r="R22" s="85">
        <f ca="1">IF(H5=0,0,Q22/H5)</f>
        <v>0.87424547283702214</v>
      </c>
    </row>
    <row r="23" spans="1:27" ht="132" customHeight="1" x14ac:dyDescent="0.25"/>
    <row r="24" spans="1:27" ht="15.75" x14ac:dyDescent="0.25">
      <c r="A24" s="92" t="s">
        <v>136</v>
      </c>
      <c r="B24" s="93"/>
      <c r="C24" s="93"/>
      <c r="D24" s="93"/>
      <c r="G24" s="65" t="s">
        <v>141</v>
      </c>
      <c r="H24" s="65"/>
      <c r="I24" s="65"/>
      <c r="J24" s="65"/>
      <c r="K24" s="65"/>
      <c r="L24" s="65"/>
    </row>
    <row r="25" spans="1:27" x14ac:dyDescent="0.25">
      <c r="A25" s="53" t="s">
        <v>8</v>
      </c>
      <c r="B25" s="53" t="s">
        <v>23</v>
      </c>
      <c r="C25" s="53" t="s">
        <v>39</v>
      </c>
      <c r="D25" s="53" t="s">
        <v>5</v>
      </c>
      <c r="G25" s="54" t="s">
        <v>8</v>
      </c>
      <c r="H25" s="54" t="s">
        <v>115</v>
      </c>
      <c r="I25" s="54" t="s">
        <v>116</v>
      </c>
      <c r="J25" s="54" t="s">
        <v>117</v>
      </c>
      <c r="K25" s="54" t="s">
        <v>39</v>
      </c>
      <c r="L25" s="54" t="s">
        <v>118</v>
      </c>
    </row>
    <row r="26" spans="1:27" x14ac:dyDescent="0.25">
      <c r="A26" s="47" t="s">
        <v>24</v>
      </c>
      <c r="B26" s="55">
        <v>200</v>
      </c>
      <c r="C26" s="47" t="s">
        <v>44</v>
      </c>
      <c r="D26" s="47" t="s">
        <v>123</v>
      </c>
      <c r="G26" s="47" t="s">
        <v>119</v>
      </c>
      <c r="H26" s="7">
        <f ca="1">B6</f>
        <v>0</v>
      </c>
      <c r="I26" s="7">
        <f ca="1">H6</f>
        <v>125</v>
      </c>
      <c r="J26" s="7">
        <f ca="1">ABS(I26-H26)</f>
        <v>125</v>
      </c>
      <c r="K26" s="47" t="s">
        <v>41</v>
      </c>
      <c r="L26" s="7" t="str">
        <f ca="1">IF(I26&gt;H26,"IN_2 &gt; IN_1",IF(H26&gt;I26,"IN_1 &gt; IN_2","Bằng nhau"))</f>
        <v>IN_2 &gt; IN_1</v>
      </c>
    </row>
    <row r="27" spans="1:27" x14ac:dyDescent="0.25">
      <c r="A27" s="47" t="s">
        <v>25</v>
      </c>
      <c r="B27" s="55">
        <v>6</v>
      </c>
      <c r="C27" s="47" t="s">
        <v>26</v>
      </c>
      <c r="D27" s="47" t="s">
        <v>123</v>
      </c>
      <c r="G27" s="47" t="s">
        <v>14</v>
      </c>
      <c r="H27" s="7">
        <f ca="1">B8</f>
        <v>0</v>
      </c>
      <c r="I27" s="7">
        <f ca="1">H8</f>
        <v>12.575452716297786</v>
      </c>
      <c r="J27" s="7">
        <f ca="1">ABS(I27-H27)</f>
        <v>12.575452716297786</v>
      </c>
      <c r="K27" s="47" t="s">
        <v>30</v>
      </c>
      <c r="L27" s="7" t="str">
        <f ca="1">IF(I27&gt;H27,"IN_2 &gt; IN_1",IF(H27&gt;I27,"IN_1 &gt; IN_2","Bằng nhau"))</f>
        <v>IN_2 &gt; IN_1</v>
      </c>
      <c r="O27"/>
      <c r="P27"/>
      <c r="Q27"/>
      <c r="R27"/>
      <c r="S27"/>
    </row>
    <row r="28" spans="1:27" x14ac:dyDescent="0.25">
      <c r="A28" s="47" t="s">
        <v>34</v>
      </c>
      <c r="B28" s="55">
        <v>1</v>
      </c>
      <c r="C28" s="47" t="s">
        <v>26</v>
      </c>
      <c r="D28" s="47" t="s">
        <v>123</v>
      </c>
      <c r="G28" s="47" t="s">
        <v>120</v>
      </c>
      <c r="H28" s="7">
        <f ca="1">B9</f>
        <v>0</v>
      </c>
      <c r="I28" s="7">
        <f ca="1">H9</f>
        <v>17</v>
      </c>
      <c r="J28" s="7">
        <f ca="1">ABS(I28-H28)</f>
        <v>17</v>
      </c>
      <c r="K28" s="47" t="s">
        <v>42</v>
      </c>
      <c r="L28" s="7" t="str">
        <f ca="1">IF(I28&gt;H28,"IN_2 &gt; IN_1",IF(H28&gt;I28,"IN_1 &gt; IN_2","Bằng nhau"))</f>
        <v>IN_2 &gt; IN_1</v>
      </c>
      <c r="O28"/>
      <c r="P28"/>
      <c r="Q28"/>
      <c r="R28"/>
      <c r="S28"/>
    </row>
    <row r="29" spans="1:27" x14ac:dyDescent="0.25">
      <c r="A29" s="47" t="s">
        <v>31</v>
      </c>
      <c r="B29" s="7">
        <f ca="1">$Q$15</f>
        <v>10.004000000003188</v>
      </c>
      <c r="C29" s="47" t="s">
        <v>43</v>
      </c>
      <c r="D29" s="47"/>
      <c r="G29" s="47" t="s">
        <v>121</v>
      </c>
      <c r="H29" s="7">
        <f ca="1">C16</f>
        <v>0</v>
      </c>
      <c r="I29" s="7">
        <f ca="1">I16</f>
        <v>74.077365085030422</v>
      </c>
      <c r="J29" s="7">
        <f ca="1">ABS(I29-H29)</f>
        <v>74.077365085030422</v>
      </c>
      <c r="K29" s="47" t="s">
        <v>40</v>
      </c>
      <c r="L29" s="7" t="str">
        <f ca="1">IF(I29&gt;H29,"IN_2 &gt; IN_1",IF(H29&gt;I29,"IN_1 &gt; IN_2","Bằng nhau"))</f>
        <v>IN_2 &gt; IN_1</v>
      </c>
      <c r="O29"/>
      <c r="P29"/>
      <c r="Q29"/>
      <c r="R29"/>
      <c r="S29"/>
      <c r="X29" s="97" t="s">
        <v>162</v>
      </c>
      <c r="Y29" s="98"/>
      <c r="Z29" s="98"/>
      <c r="AA29" s="99"/>
    </row>
    <row r="30" spans="1:27" x14ac:dyDescent="0.25">
      <c r="A30" s="47" t="s">
        <v>27</v>
      </c>
      <c r="B30" s="7">
        <f ca="1">(B26/60)*B29</f>
        <v>33.346666666677294</v>
      </c>
      <c r="C30" s="47" t="s">
        <v>45</v>
      </c>
      <c r="D30" s="47"/>
      <c r="G30" s="56" t="s">
        <v>144</v>
      </c>
      <c r="H30" s="7">
        <f ca="1">IFERROR(MIN(B9,B32)/MAX(B9,B32)*100,0)</f>
        <v>0</v>
      </c>
      <c r="I30" s="7">
        <f ca="1">IFERROR(MIN(H9,B32)/MAX(H9,B32)*100,0)</f>
        <v>51.515151515151516</v>
      </c>
      <c r="J30" s="47"/>
      <c r="K30" s="47" t="s">
        <v>30</v>
      </c>
      <c r="L30" s="7" t="str">
        <f t="shared" ref="L30" ca="1" si="0">IF(I30&gt;H30,"IN_2 &gt; IN_1",IF(H30&gt;I30,"IN_1 &gt; IN_2","Bằng nhau"))</f>
        <v>IN_2 &gt; IN_1</v>
      </c>
      <c r="O30"/>
      <c r="P30"/>
      <c r="Q30"/>
      <c r="R30"/>
      <c r="S30"/>
      <c r="X30" s="50" t="s">
        <v>39</v>
      </c>
      <c r="Y30" s="50" t="s">
        <v>78</v>
      </c>
      <c r="Z30" s="50" t="s">
        <v>79</v>
      </c>
      <c r="AA30" s="50" t="s">
        <v>9</v>
      </c>
    </row>
    <row r="31" spans="1:27" x14ac:dyDescent="0.25">
      <c r="A31" s="47" t="s">
        <v>124</v>
      </c>
      <c r="B31" s="7">
        <f ca="1">ROUNDDOWN(B30*B27,0)</f>
        <v>200</v>
      </c>
      <c r="C31" s="47" t="s">
        <v>46</v>
      </c>
      <c r="D31" s="47"/>
      <c r="G31" s="7"/>
      <c r="H31" s="7"/>
      <c r="I31" s="7"/>
      <c r="J31" s="7"/>
      <c r="K31" s="7"/>
      <c r="L31" s="7"/>
      <c r="O31"/>
      <c r="P31"/>
      <c r="Q31"/>
      <c r="R31"/>
      <c r="S31"/>
      <c r="X31" s="47" t="s">
        <v>80</v>
      </c>
      <c r="Y31" s="47" t="s">
        <v>81</v>
      </c>
      <c r="Z31" s="47" t="s">
        <v>82</v>
      </c>
      <c r="AA31" s="47" t="s">
        <v>83</v>
      </c>
    </row>
    <row r="32" spans="1:27" x14ac:dyDescent="0.25">
      <c r="A32" s="47" t="s">
        <v>38</v>
      </c>
      <c r="B32" s="7">
        <f ca="1">ROUNDDOWN(B30*B28,0)</f>
        <v>33</v>
      </c>
      <c r="C32" s="47" t="s">
        <v>33</v>
      </c>
      <c r="D32" s="47"/>
      <c r="O32"/>
      <c r="P32"/>
      <c r="Q32"/>
      <c r="R32"/>
      <c r="S32"/>
      <c r="X32" s="47" t="s">
        <v>84</v>
      </c>
      <c r="Y32" s="47" t="s">
        <v>81</v>
      </c>
      <c r="Z32" s="47" t="s">
        <v>85</v>
      </c>
      <c r="AA32" s="47" t="s">
        <v>86</v>
      </c>
    </row>
    <row r="33" spans="1:27" x14ac:dyDescent="0.25">
      <c r="O33"/>
      <c r="P33"/>
      <c r="Q33"/>
      <c r="R33"/>
      <c r="S33"/>
      <c r="X33" s="47" t="s">
        <v>87</v>
      </c>
      <c r="Y33" s="47" t="s">
        <v>88</v>
      </c>
      <c r="Z33" s="47" t="s">
        <v>82</v>
      </c>
      <c r="AA33" s="47" t="s">
        <v>89</v>
      </c>
    </row>
    <row r="34" spans="1:27" x14ac:dyDescent="0.25">
      <c r="O34"/>
      <c r="P34"/>
      <c r="Q34"/>
      <c r="R34"/>
      <c r="S34"/>
      <c r="X34" s="47" t="s">
        <v>90</v>
      </c>
      <c r="Y34" s="47" t="s">
        <v>91</v>
      </c>
      <c r="Z34" s="47" t="s">
        <v>92</v>
      </c>
      <c r="AA34" s="47" t="s">
        <v>93</v>
      </c>
    </row>
    <row r="35" spans="1:27" ht="15.75" x14ac:dyDescent="0.25">
      <c r="A35" s="94" t="s">
        <v>142</v>
      </c>
      <c r="B35" s="94"/>
      <c r="C35" s="94"/>
      <c r="D35" s="94"/>
      <c r="E35" s="94"/>
      <c r="G35" s="95" t="s">
        <v>143</v>
      </c>
      <c r="H35" s="96"/>
      <c r="I35" s="96"/>
      <c r="J35" s="96"/>
      <c r="K35" s="96"/>
      <c r="O35"/>
      <c r="P35"/>
      <c r="Q35"/>
      <c r="R35"/>
      <c r="S35"/>
      <c r="X35" s="47" t="s">
        <v>94</v>
      </c>
      <c r="Y35" s="47" t="s">
        <v>91</v>
      </c>
      <c r="Z35" s="47" t="s">
        <v>85</v>
      </c>
      <c r="AA35" s="47" t="s">
        <v>95</v>
      </c>
    </row>
    <row r="36" spans="1:27" x14ac:dyDescent="0.25">
      <c r="A36" s="57" t="s">
        <v>3</v>
      </c>
      <c r="B36" s="58" t="s">
        <v>0</v>
      </c>
      <c r="C36" s="58" t="s">
        <v>4</v>
      </c>
      <c r="D36" s="58" t="s">
        <v>20</v>
      </c>
      <c r="E36" s="59" t="s">
        <v>53</v>
      </c>
      <c r="G36" s="62" t="s">
        <v>3</v>
      </c>
      <c r="H36" s="63" t="s">
        <v>0</v>
      </c>
      <c r="I36" s="63" t="s">
        <v>4</v>
      </c>
      <c r="J36" s="63" t="s">
        <v>20</v>
      </c>
      <c r="K36" s="64" t="s">
        <v>53</v>
      </c>
      <c r="O36"/>
      <c r="P36"/>
      <c r="Q36"/>
      <c r="R36"/>
      <c r="S36"/>
      <c r="X36" s="47" t="s">
        <v>96</v>
      </c>
      <c r="Y36" s="47" t="s">
        <v>97</v>
      </c>
      <c r="Z36" s="47" t="s">
        <v>92</v>
      </c>
      <c r="AA36" s="47" t="s">
        <v>98</v>
      </c>
    </row>
    <row r="37" spans="1:27" x14ac:dyDescent="0.25">
      <c r="A37" s="60">
        <v>1</v>
      </c>
      <c r="B37" s="86" t="str" cm="1">
        <f t="array" aca="1" ref="B3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1),"")</f>
        <v/>
      </c>
      <c r="C37" s="86" t="str" cm="1">
        <f t="array" aca="1" ref="C37" ca="1">IF(B37="","",IF(INDIRECT("'"&amp;$Q$3&amp;"'!"&amp;$Q$6&amp;(B37+1))=1,"ON","OFF"))</f>
        <v/>
      </c>
      <c r="D37" s="87" t="str" cm="1">
        <f t="array" aca="1" ref="D37" ca="1">IF(B37="","",IFERROR((INDIRECT("'"&amp;$Q$3&amp;"'!A"&amp;(B37+1))-INDIRECT("'"&amp;$Q$3&amp;"'!A2"))*86400,""))</f>
        <v/>
      </c>
      <c r="E37" s="88" t="str">
        <f t="shared" ref="E37:E68" ca="1" si="1">IF(OR(B37="",B38=""),"",ROUND((D38-D37)*1000,0))</f>
        <v/>
      </c>
      <c r="G37" s="60">
        <v>1</v>
      </c>
      <c r="H37" s="86" cm="1">
        <f t="array" aca="1" ref="H3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1),"")</f>
        <v>17</v>
      </c>
      <c r="I37" s="86" t="str" cm="1">
        <f t="array" aca="1" ref="I37" ca="1">IF(H37="","",IF(INDIRECT("'"&amp;$Q$3&amp;"'!"&amp;$Q$7&amp;(H37+1))=1,"ON","OFF"))</f>
        <v>OFF</v>
      </c>
      <c r="J37" s="87" cm="1">
        <f t="array" aca="1" ref="J37" ca="1">IF(H37="","",IFERROR((INDIRECT("'"&amp;$Q$3&amp;"'!A"&amp;(H37+1))-INDIRECT("'"&amp;$Q$3&amp;"'!A2"))*86400,""))</f>
        <v>0.16000000000104819</v>
      </c>
      <c r="K37" s="88">
        <f t="shared" ref="K37:K68" ca="1" si="2">IF(OR(H37="",H38=""),"",ROUND((J38-J37)*1000,0))</f>
        <v>80</v>
      </c>
    </row>
    <row r="38" spans="1:27" x14ac:dyDescent="0.25">
      <c r="A38" s="60">
        <v>2</v>
      </c>
      <c r="B38" s="86" t="str" cm="1">
        <f t="array" aca="1" ref="B3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2),"")</f>
        <v/>
      </c>
      <c r="C38" s="86" t="str" cm="1">
        <f t="array" aca="1" ref="C38" ca="1">IF(B38="","",IF(INDIRECT("'"&amp;$Q$3&amp;"'!"&amp;$Q$6&amp;(B38+1))=1,"ON","OFF"))</f>
        <v/>
      </c>
      <c r="D38" s="87" t="str" cm="1">
        <f t="array" aca="1" ref="D38" ca="1">IF(B38="","",IFERROR((INDIRECT("'"&amp;$Q$3&amp;"'!A"&amp;(B38+1))-INDIRECT("'"&amp;$Q$3&amp;"'!A2"))*86400,""))</f>
        <v/>
      </c>
      <c r="E38" s="88" t="str">
        <f t="shared" ca="1" si="1"/>
        <v/>
      </c>
      <c r="G38" s="60">
        <v>2</v>
      </c>
      <c r="H38" s="86" cm="1">
        <f t="array" aca="1" ref="H3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2),"")</f>
        <v>24</v>
      </c>
      <c r="I38" s="86" t="str" cm="1">
        <f t="array" aca="1" ref="I38" ca="1">IF(H38="","",IF(INDIRECT("'"&amp;$Q$3&amp;"'!"&amp;$Q$7&amp;(H38+1))=1,"ON","OFF"))</f>
        <v>ON</v>
      </c>
      <c r="J38" s="87" cm="1">
        <f t="array" aca="1" ref="J38" ca="1">IF(H38="","",IFERROR((INDIRECT("'"&amp;$Q$3&amp;"'!A"&amp;(H38+1))-INDIRECT("'"&amp;$Q$3&amp;"'!A2"))*86400,""))</f>
        <v>0.24000000000157229</v>
      </c>
      <c r="K38" s="88">
        <f t="shared" ca="1" si="2"/>
        <v>529</v>
      </c>
    </row>
    <row r="39" spans="1:27" x14ac:dyDescent="0.25">
      <c r="A39" s="60">
        <v>3</v>
      </c>
      <c r="B39" s="86" t="str" cm="1">
        <f t="array" aca="1" ref="B3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3),"")</f>
        <v/>
      </c>
      <c r="C39" s="86" t="str" cm="1">
        <f t="array" aca="1" ref="C39" ca="1">IF(B39="","",IF(INDIRECT("'"&amp;$Q$3&amp;"'!"&amp;$Q$6&amp;(B39+1))=1,"ON","OFF"))</f>
        <v/>
      </c>
      <c r="D39" s="87" t="str" cm="1">
        <f t="array" aca="1" ref="D39" ca="1">IF(B39="","",IFERROR((INDIRECT("'"&amp;$Q$3&amp;"'!A"&amp;(B39+1))-INDIRECT("'"&amp;$Q$3&amp;"'!A2"))*86400,""))</f>
        <v/>
      </c>
      <c r="E39" s="88" t="str">
        <f t="shared" ca="1" si="1"/>
        <v/>
      </c>
      <c r="G39" s="60">
        <v>3</v>
      </c>
      <c r="H39" s="86" cm="1">
        <f t="array" aca="1" ref="H3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3),"")</f>
        <v>77</v>
      </c>
      <c r="I39" s="86" t="str" cm="1">
        <f t="array" aca="1" ref="I39" ca="1">IF(H39="","",IF(INDIRECT("'"&amp;$Q$3&amp;"'!"&amp;$Q$7&amp;(H39+1))=1,"ON","OFF"))</f>
        <v>OFF</v>
      </c>
      <c r="J39" s="87" cm="1">
        <f t="array" aca="1" ref="J39" ca="1">IF(H39="","",IFERROR((INDIRECT("'"&amp;$Q$3&amp;"'!A"&amp;(H39+1))-INDIRECT("'"&amp;$Q$3&amp;"'!A2"))*86400,""))</f>
        <v>0.76900000000144075</v>
      </c>
      <c r="K39" s="88">
        <f t="shared" ca="1" si="2"/>
        <v>70</v>
      </c>
    </row>
    <row r="40" spans="1:27" x14ac:dyDescent="0.25">
      <c r="A40" s="60">
        <v>4</v>
      </c>
      <c r="B40" s="86" t="str" cm="1">
        <f t="array" aca="1" ref="B4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4),"")</f>
        <v/>
      </c>
      <c r="C40" s="86" t="str" cm="1">
        <f t="array" aca="1" ref="C40" ca="1">IF(B40="","",IF(INDIRECT("'"&amp;$Q$3&amp;"'!"&amp;$Q$6&amp;(B40+1))=1,"ON","OFF"))</f>
        <v/>
      </c>
      <c r="D40" s="87" t="str" cm="1">
        <f t="array" aca="1" ref="D40" ca="1">IF(B40="","",IFERROR((INDIRECT("'"&amp;$Q$3&amp;"'!A"&amp;(B40+1))-INDIRECT("'"&amp;$Q$3&amp;"'!A2"))*86400,""))</f>
        <v/>
      </c>
      <c r="E40" s="88" t="str">
        <f t="shared" ca="1" si="1"/>
        <v/>
      </c>
      <c r="G40" s="60">
        <v>4</v>
      </c>
      <c r="H40" s="86" cm="1">
        <f t="array" aca="1" ref="H4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4),"")</f>
        <v>84</v>
      </c>
      <c r="I40" s="86" t="str" cm="1">
        <f t="array" aca="1" ref="I40" ca="1">IF(H40="","",IF(INDIRECT("'"&amp;$Q$3&amp;"'!"&amp;$Q$7&amp;(H40+1))=1,"ON","OFF"))</f>
        <v>ON</v>
      </c>
      <c r="J40" s="87" cm="1">
        <f t="array" aca="1" ref="J40" ca="1">IF(H40="","",IFERROR((INDIRECT("'"&amp;$Q$3&amp;"'!A"&amp;(H40+1))-INDIRECT("'"&amp;$Q$3&amp;"'!A2"))*86400,""))</f>
        <v>0.83899999999950126</v>
      </c>
      <c r="K40" s="88">
        <f t="shared" ca="1" si="2"/>
        <v>529</v>
      </c>
    </row>
    <row r="41" spans="1:27" x14ac:dyDescent="0.25">
      <c r="A41" s="60">
        <v>5</v>
      </c>
      <c r="B41" s="86" t="str" cm="1">
        <f t="array" aca="1" ref="B4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5),"")</f>
        <v/>
      </c>
      <c r="C41" s="86" t="str" cm="1">
        <f t="array" aca="1" ref="C41" ca="1">IF(B41="","",IF(INDIRECT("'"&amp;$Q$3&amp;"'!"&amp;$Q$6&amp;(B41+1))=1,"ON","OFF"))</f>
        <v/>
      </c>
      <c r="D41" s="87" t="str" cm="1">
        <f t="array" aca="1" ref="D41" ca="1">IF(B41="","",IFERROR((INDIRECT("'"&amp;$Q$3&amp;"'!A"&amp;(B41+1))-INDIRECT("'"&amp;$Q$3&amp;"'!A2"))*86400,""))</f>
        <v/>
      </c>
      <c r="E41" s="88" t="str">
        <f t="shared" ca="1" si="1"/>
        <v/>
      </c>
      <c r="G41" s="60">
        <v>5</v>
      </c>
      <c r="H41" s="86" cm="1">
        <f t="array" aca="1" ref="H4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5),"")</f>
        <v>136</v>
      </c>
      <c r="I41" s="86" t="str" cm="1">
        <f t="array" aca="1" ref="I41" ca="1">IF(H41="","",IF(INDIRECT("'"&amp;$Q$3&amp;"'!"&amp;$Q$7&amp;(H41+1))=1,"ON","OFF"))</f>
        <v>OFF</v>
      </c>
      <c r="J41" s="87" cm="1">
        <f t="array" aca="1" ref="J41" ca="1">IF(H41="","",IFERROR((INDIRECT("'"&amp;$Q$3&amp;"'!A"&amp;(H41+1))-INDIRECT("'"&amp;$Q$3&amp;"'!A2"))*86400,""))</f>
        <v>1.3679999999993697</v>
      </c>
      <c r="K41" s="88">
        <f t="shared" ca="1" si="2"/>
        <v>70</v>
      </c>
    </row>
    <row r="42" spans="1:27" x14ac:dyDescent="0.25">
      <c r="A42" s="60">
        <v>6</v>
      </c>
      <c r="B42" s="86" t="str" cm="1">
        <f t="array" aca="1" ref="B4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6),"")</f>
        <v/>
      </c>
      <c r="C42" s="86" t="str" cm="1">
        <f t="array" aca="1" ref="C42" ca="1">IF(B42="","",IF(INDIRECT("'"&amp;$Q$3&amp;"'!"&amp;$Q$6&amp;(B42+1))=1,"ON","OFF"))</f>
        <v/>
      </c>
      <c r="D42" s="87" t="str" cm="1">
        <f t="array" aca="1" ref="D42" ca="1">IF(B42="","",IFERROR((INDIRECT("'"&amp;$Q$3&amp;"'!A"&amp;(B42+1))-INDIRECT("'"&amp;$Q$3&amp;"'!A2"))*86400,""))</f>
        <v/>
      </c>
      <c r="E42" s="88" t="str">
        <f t="shared" ca="1" si="1"/>
        <v/>
      </c>
      <c r="G42" s="60">
        <v>6</v>
      </c>
      <c r="H42" s="86" cm="1">
        <f t="array" aca="1" ref="H4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6),"")</f>
        <v>143</v>
      </c>
      <c r="I42" s="86" t="str" cm="1">
        <f t="array" aca="1" ref="I42" ca="1">IF(H42="","",IF(INDIRECT("'"&amp;$Q$3&amp;"'!"&amp;$Q$7&amp;(H42+1))=1,"ON","OFF"))</f>
        <v>ON</v>
      </c>
      <c r="J42" s="87" cm="1">
        <f t="array" aca="1" ref="J42" ca="1">IF(H42="","",IFERROR((INDIRECT("'"&amp;$Q$3&amp;"'!A"&amp;(H42+1))-INDIRECT("'"&amp;$Q$3&amp;"'!A2"))*86400,""))</f>
        <v>1.4379999999974302</v>
      </c>
      <c r="K42" s="88">
        <f t="shared" ca="1" si="2"/>
        <v>529</v>
      </c>
    </row>
    <row r="43" spans="1:27" x14ac:dyDescent="0.25">
      <c r="A43" s="60">
        <v>7</v>
      </c>
      <c r="B43" s="86" t="str" cm="1">
        <f t="array" aca="1" ref="B4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7),"")</f>
        <v/>
      </c>
      <c r="C43" s="86" t="str" cm="1">
        <f t="array" aca="1" ref="C43" ca="1">IF(B43="","",IF(INDIRECT("'"&amp;$Q$3&amp;"'!"&amp;$Q$6&amp;(B43+1))=1,"ON","OFF"))</f>
        <v/>
      </c>
      <c r="D43" s="87" t="str" cm="1">
        <f t="array" aca="1" ref="D43" ca="1">IF(B43="","",IFERROR((INDIRECT("'"&amp;$Q$3&amp;"'!A"&amp;(B43+1))-INDIRECT("'"&amp;$Q$3&amp;"'!A2"))*86400,""))</f>
        <v/>
      </c>
      <c r="E43" s="88" t="str">
        <f t="shared" ca="1" si="1"/>
        <v/>
      </c>
      <c r="G43" s="60">
        <v>7</v>
      </c>
      <c r="H43" s="86" cm="1">
        <f t="array" aca="1" ref="H4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7),"")</f>
        <v>196</v>
      </c>
      <c r="I43" s="86" t="str" cm="1">
        <f t="array" aca="1" ref="I43" ca="1">IF(H43="","",IF(INDIRECT("'"&amp;$Q$3&amp;"'!"&amp;$Q$7&amp;(H43+1))=1,"ON","OFF"))</f>
        <v>OFF</v>
      </c>
      <c r="J43" s="87" cm="1">
        <f t="array" aca="1" ref="J43" ca="1">IF(H43="","",IFERROR((INDIRECT("'"&amp;$Q$3&amp;"'!A"&amp;(H43+1))-INDIRECT("'"&amp;$Q$3&amp;"'!A2"))*86400,""))</f>
        <v>1.9669999999972987</v>
      </c>
      <c r="K43" s="88">
        <f t="shared" ca="1" si="2"/>
        <v>70</v>
      </c>
    </row>
    <row r="44" spans="1:27" x14ac:dyDescent="0.25">
      <c r="A44" s="60">
        <v>8</v>
      </c>
      <c r="B44" s="86" t="str" cm="1">
        <f t="array" aca="1" ref="B4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8),"")</f>
        <v/>
      </c>
      <c r="C44" s="86" t="str" cm="1">
        <f t="array" aca="1" ref="C44" ca="1">IF(B44="","",IF(INDIRECT("'"&amp;$Q$3&amp;"'!"&amp;$Q$6&amp;(B44+1))=1,"ON","OFF"))</f>
        <v/>
      </c>
      <c r="D44" s="87" t="str" cm="1">
        <f t="array" aca="1" ref="D44" ca="1">IF(B44="","",IFERROR((INDIRECT("'"&amp;$Q$3&amp;"'!A"&amp;(B44+1))-INDIRECT("'"&amp;$Q$3&amp;"'!A2"))*86400,""))</f>
        <v/>
      </c>
      <c r="E44" s="88" t="str">
        <f t="shared" ca="1" si="1"/>
        <v/>
      </c>
      <c r="G44" s="60">
        <v>8</v>
      </c>
      <c r="H44" s="86" cm="1">
        <f t="array" aca="1" ref="H4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8),"")</f>
        <v>203</v>
      </c>
      <c r="I44" s="86" t="str" cm="1">
        <f t="array" aca="1" ref="I44" ca="1">IF(H44="","",IF(INDIRECT("'"&amp;$Q$3&amp;"'!"&amp;$Q$7&amp;(H44+1))=1,"ON","OFF"))</f>
        <v>ON</v>
      </c>
      <c r="J44" s="87" cm="1">
        <f t="array" aca="1" ref="J44" ca="1">IF(H44="","",IFERROR((INDIRECT("'"&amp;$Q$3&amp;"'!A"&amp;(H44+1))-INDIRECT("'"&amp;$Q$3&amp;"'!A2"))*86400,""))</f>
        <v>2.0369999999953592</v>
      </c>
      <c r="K44" s="88">
        <f t="shared" ca="1" si="2"/>
        <v>529</v>
      </c>
    </row>
    <row r="45" spans="1:27" x14ac:dyDescent="0.25">
      <c r="A45" s="60">
        <v>9</v>
      </c>
      <c r="B45" s="86" t="str" cm="1">
        <f t="array" aca="1" ref="B4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9),"")</f>
        <v/>
      </c>
      <c r="C45" s="86" t="str" cm="1">
        <f t="array" aca="1" ref="C45" ca="1">IF(B45="","",IF(INDIRECT("'"&amp;$Q$3&amp;"'!"&amp;$Q$6&amp;(B45+1))=1,"ON","OFF"))</f>
        <v/>
      </c>
      <c r="D45" s="87" t="str" cm="1">
        <f t="array" aca="1" ref="D45" ca="1">IF(B45="","",IFERROR((INDIRECT("'"&amp;$Q$3&amp;"'!A"&amp;(B45+1))-INDIRECT("'"&amp;$Q$3&amp;"'!A2"))*86400,""))</f>
        <v/>
      </c>
      <c r="E45" s="88" t="str">
        <f t="shared" ca="1" si="1"/>
        <v/>
      </c>
      <c r="G45" s="60">
        <v>9</v>
      </c>
      <c r="H45" s="86" cm="1">
        <f t="array" aca="1" ref="H4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9),"")</f>
        <v>255</v>
      </c>
      <c r="I45" s="86" t="str" cm="1">
        <f t="array" aca="1" ref="I45" ca="1">IF(H45="","",IF(INDIRECT("'"&amp;$Q$3&amp;"'!"&amp;$Q$7&amp;(H45+1))=1,"ON","OFF"))</f>
        <v>OFF</v>
      </c>
      <c r="J45" s="87" cm="1">
        <f t="array" aca="1" ref="J45" ca="1">IF(H45="","",IFERROR((INDIRECT("'"&amp;$Q$3&amp;"'!A"&amp;(H45+1))-INDIRECT("'"&amp;$Q$3&amp;"'!A2"))*86400,""))</f>
        <v>2.5659999999952277</v>
      </c>
      <c r="K45" s="88">
        <f t="shared" ca="1" si="2"/>
        <v>70</v>
      </c>
    </row>
    <row r="46" spans="1:27" x14ac:dyDescent="0.25">
      <c r="A46" s="60">
        <v>10</v>
      </c>
      <c r="B46" s="86" t="str" cm="1">
        <f t="array" aca="1" ref="B4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10),"")</f>
        <v/>
      </c>
      <c r="C46" s="86" t="str" cm="1">
        <f t="array" aca="1" ref="C46" ca="1">IF(B46="","",IF(INDIRECT("'"&amp;$Q$3&amp;"'!"&amp;$Q$6&amp;(B46+1))=1,"ON","OFF"))</f>
        <v/>
      </c>
      <c r="D46" s="87" t="str" cm="1">
        <f t="array" aca="1" ref="D46" ca="1">IF(B46="","",IFERROR((INDIRECT("'"&amp;$Q$3&amp;"'!A"&amp;(B46+1))-INDIRECT("'"&amp;$Q$3&amp;"'!A2"))*86400,""))</f>
        <v/>
      </c>
      <c r="E46" s="88" t="str">
        <f t="shared" ca="1" si="1"/>
        <v/>
      </c>
      <c r="G46" s="60">
        <v>10</v>
      </c>
      <c r="H46" s="86" cm="1">
        <f t="array" aca="1" ref="H4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10),"")</f>
        <v>262</v>
      </c>
      <c r="I46" s="86" t="str" cm="1">
        <f t="array" aca="1" ref="I46" ca="1">IF(H46="","",IF(INDIRECT("'"&amp;$Q$3&amp;"'!"&amp;$Q$7&amp;(H46+1))=1,"ON","OFF"))</f>
        <v>ON</v>
      </c>
      <c r="J46" s="87" cm="1">
        <f t="array" aca="1" ref="J46" ca="1">IF(H46="","",IFERROR((INDIRECT("'"&amp;$Q$3&amp;"'!A"&amp;(H46+1))-INDIRECT("'"&amp;$Q$3&amp;"'!A2"))*86400,""))</f>
        <v>2.6360000000028805</v>
      </c>
      <c r="K46" s="88">
        <f t="shared" ca="1" si="2"/>
        <v>519</v>
      </c>
    </row>
    <row r="47" spans="1:27" x14ac:dyDescent="0.25">
      <c r="A47" s="60">
        <v>11</v>
      </c>
      <c r="B47" s="86" t="str" cm="1">
        <f t="array" aca="1" ref="B4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11),"")</f>
        <v/>
      </c>
      <c r="C47" s="86" t="str" cm="1">
        <f t="array" aca="1" ref="C47" ca="1">IF(B47="","",IF(INDIRECT("'"&amp;$Q$3&amp;"'!"&amp;$Q$6&amp;(B47+1))=1,"ON","OFF"))</f>
        <v/>
      </c>
      <c r="D47" s="87" t="str" cm="1">
        <f t="array" aca="1" ref="D47" ca="1">IF(B47="","",IFERROR((INDIRECT("'"&amp;$Q$3&amp;"'!A"&amp;(B47+1))-INDIRECT("'"&amp;$Q$3&amp;"'!A2"))*86400,""))</f>
        <v/>
      </c>
      <c r="E47" s="88" t="str">
        <f t="shared" ca="1" si="1"/>
        <v/>
      </c>
      <c r="G47" s="60">
        <v>11</v>
      </c>
      <c r="H47" s="86" cm="1">
        <f t="array" aca="1" ref="H4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11),"")</f>
        <v>314</v>
      </c>
      <c r="I47" s="86" t="str" cm="1">
        <f t="array" aca="1" ref="I47" ca="1">IF(H47="","",IF(INDIRECT("'"&amp;$Q$3&amp;"'!"&amp;$Q$7&amp;(H47+1))=1,"ON","OFF"))</f>
        <v>OFF</v>
      </c>
      <c r="J47" s="87" cm="1">
        <f t="array" aca="1" ref="J47" ca="1">IF(H47="","",IFERROR((INDIRECT("'"&amp;$Q$3&amp;"'!A"&amp;(H47+1))-INDIRECT("'"&amp;$Q$3&amp;"'!A2"))*86400,""))</f>
        <v>3.1550000000002854</v>
      </c>
      <c r="K47" s="88">
        <f t="shared" ca="1" si="2"/>
        <v>80</v>
      </c>
    </row>
    <row r="48" spans="1:27" x14ac:dyDescent="0.25">
      <c r="A48" s="60">
        <v>12</v>
      </c>
      <c r="B48" s="86" t="str" cm="1">
        <f t="array" aca="1" ref="B4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12),"")</f>
        <v/>
      </c>
      <c r="C48" s="86" t="str" cm="1">
        <f t="array" aca="1" ref="C48" ca="1">IF(B48="","",IF(INDIRECT("'"&amp;$Q$3&amp;"'!"&amp;$Q$6&amp;(B48+1))=1,"ON","OFF"))</f>
        <v/>
      </c>
      <c r="D48" s="87" t="str" cm="1">
        <f t="array" aca="1" ref="D48" ca="1">IF(B48="","",IFERROR((INDIRECT("'"&amp;$Q$3&amp;"'!A"&amp;(B48+1))-INDIRECT("'"&amp;$Q$3&amp;"'!A2"))*86400,""))</f>
        <v/>
      </c>
      <c r="E48" s="88" t="str">
        <f t="shared" ca="1" si="1"/>
        <v/>
      </c>
      <c r="G48" s="60">
        <v>12</v>
      </c>
      <c r="H48" s="86" cm="1">
        <f t="array" aca="1" ref="H4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12),"")</f>
        <v>321</v>
      </c>
      <c r="I48" s="86" t="str" cm="1">
        <f t="array" aca="1" ref="I48" ca="1">IF(H48="","",IF(INDIRECT("'"&amp;$Q$3&amp;"'!"&amp;$Q$7&amp;(H48+1))=1,"ON","OFF"))</f>
        <v>ON</v>
      </c>
      <c r="J48" s="87" cm="1">
        <f t="array" aca="1" ref="J48" ca="1">IF(H48="","",IFERROR((INDIRECT("'"&amp;$Q$3&amp;"'!A"&amp;(H48+1))-INDIRECT("'"&amp;$Q$3&amp;"'!A2"))*86400,""))</f>
        <v>3.2350000000008095</v>
      </c>
      <c r="K48" s="88">
        <f t="shared" ca="1" si="2"/>
        <v>529</v>
      </c>
    </row>
    <row r="49" spans="1:11" x14ac:dyDescent="0.25">
      <c r="A49" s="60">
        <v>13</v>
      </c>
      <c r="B49" s="86" t="str" cm="1">
        <f t="array" aca="1" ref="B4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13),"")</f>
        <v/>
      </c>
      <c r="C49" s="86" t="str" cm="1">
        <f t="array" aca="1" ref="C49" ca="1">IF(B49="","",IF(INDIRECT("'"&amp;$Q$3&amp;"'!"&amp;$Q$6&amp;(B49+1))=1,"ON","OFF"))</f>
        <v/>
      </c>
      <c r="D49" s="87" t="str" cm="1">
        <f t="array" aca="1" ref="D49" ca="1">IF(B49="","",IFERROR((INDIRECT("'"&amp;$Q$3&amp;"'!A"&amp;(B49+1))-INDIRECT("'"&amp;$Q$3&amp;"'!A2"))*86400,""))</f>
        <v/>
      </c>
      <c r="E49" s="88" t="str">
        <f t="shared" ca="1" si="1"/>
        <v/>
      </c>
      <c r="G49" s="60">
        <v>13</v>
      </c>
      <c r="H49" s="86" cm="1">
        <f t="array" aca="1" ref="H4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13),"")</f>
        <v>374</v>
      </c>
      <c r="I49" s="86" t="str" cm="1">
        <f t="array" aca="1" ref="I49" ca="1">IF(H49="","",IF(INDIRECT("'"&amp;$Q$3&amp;"'!"&amp;$Q$7&amp;(H49+1))=1,"ON","OFF"))</f>
        <v>OFF</v>
      </c>
      <c r="J49" s="87" cm="1">
        <f t="array" aca="1" ref="J49" ca="1">IF(H49="","",IFERROR((INDIRECT("'"&amp;$Q$3&amp;"'!A"&amp;(H49+1))-INDIRECT("'"&amp;$Q$3&amp;"'!A2"))*86400,""))</f>
        <v>3.7640000000006779</v>
      </c>
      <c r="K49" s="88">
        <f t="shared" ca="1" si="2"/>
        <v>70</v>
      </c>
    </row>
    <row r="50" spans="1:11" x14ac:dyDescent="0.25">
      <c r="A50" s="60">
        <v>14</v>
      </c>
      <c r="B50" s="86" t="str" cm="1">
        <f t="array" aca="1" ref="B5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14),"")</f>
        <v/>
      </c>
      <c r="C50" s="86" t="str" cm="1">
        <f t="array" aca="1" ref="C50" ca="1">IF(B50="","",IF(INDIRECT("'"&amp;$Q$3&amp;"'!"&amp;$Q$6&amp;(B50+1))=1,"ON","OFF"))</f>
        <v/>
      </c>
      <c r="D50" s="87" t="str" cm="1">
        <f t="array" aca="1" ref="D50" ca="1">IF(B50="","",IFERROR((INDIRECT("'"&amp;$Q$3&amp;"'!A"&amp;(B50+1))-INDIRECT("'"&amp;$Q$3&amp;"'!A2"))*86400,""))</f>
        <v/>
      </c>
      <c r="E50" s="88" t="str">
        <f t="shared" ca="1" si="1"/>
        <v/>
      </c>
      <c r="G50" s="60">
        <v>14</v>
      </c>
      <c r="H50" s="86" cm="1">
        <f t="array" aca="1" ref="H5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14),"")</f>
        <v>381</v>
      </c>
      <c r="I50" s="86" t="str" cm="1">
        <f t="array" aca="1" ref="I50" ca="1">IF(H50="","",IF(INDIRECT("'"&amp;$Q$3&amp;"'!"&amp;$Q$7&amp;(H50+1))=1,"ON","OFF"))</f>
        <v>ON</v>
      </c>
      <c r="J50" s="87" cm="1">
        <f t="array" aca="1" ref="J50" ca="1">IF(H50="","",IFERROR((INDIRECT("'"&amp;$Q$3&amp;"'!A"&amp;(H50+1))-INDIRECT("'"&amp;$Q$3&amp;"'!A2"))*86400,""))</f>
        <v>3.8339999999987384</v>
      </c>
      <c r="K50" s="88">
        <f t="shared" ca="1" si="2"/>
        <v>529</v>
      </c>
    </row>
    <row r="51" spans="1:11" x14ac:dyDescent="0.25">
      <c r="A51" s="60">
        <v>15</v>
      </c>
      <c r="B51" s="86" t="str" cm="1">
        <f t="array" aca="1" ref="B5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15),"")</f>
        <v/>
      </c>
      <c r="C51" s="86" t="str" cm="1">
        <f t="array" aca="1" ref="C51" ca="1">IF(B51="","",IF(INDIRECT("'"&amp;$Q$3&amp;"'!"&amp;$Q$6&amp;(B51+1))=1,"ON","OFF"))</f>
        <v/>
      </c>
      <c r="D51" s="87" t="str" cm="1">
        <f t="array" aca="1" ref="D51" ca="1">IF(B51="","",IFERROR((INDIRECT("'"&amp;$Q$3&amp;"'!A"&amp;(B51+1))-INDIRECT("'"&amp;$Q$3&amp;"'!A2"))*86400,""))</f>
        <v/>
      </c>
      <c r="E51" s="88" t="str">
        <f t="shared" ca="1" si="1"/>
        <v/>
      </c>
      <c r="G51" s="60">
        <v>15</v>
      </c>
      <c r="H51" s="86" cm="1">
        <f t="array" aca="1" ref="H5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15),"")</f>
        <v>433</v>
      </c>
      <c r="I51" s="86" t="str" cm="1">
        <f t="array" aca="1" ref="I51" ca="1">IF(H51="","",IF(INDIRECT("'"&amp;$Q$3&amp;"'!"&amp;$Q$7&amp;(H51+1))=1,"ON","OFF"))</f>
        <v>OFF</v>
      </c>
      <c r="J51" s="87" cm="1">
        <f t="array" aca="1" ref="J51" ca="1">IF(H51="","",IFERROR((INDIRECT("'"&amp;$Q$3&amp;"'!A"&amp;(H51+1))-INDIRECT("'"&amp;$Q$3&amp;"'!A2"))*86400,""))</f>
        <v>4.3629999999986069</v>
      </c>
      <c r="K51" s="88">
        <f t="shared" ca="1" si="2"/>
        <v>70</v>
      </c>
    </row>
    <row r="52" spans="1:11" x14ac:dyDescent="0.25">
      <c r="A52" s="60">
        <v>16</v>
      </c>
      <c r="B52" s="86" t="str" cm="1">
        <f t="array" aca="1" ref="B5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16),"")</f>
        <v/>
      </c>
      <c r="C52" s="86" t="str" cm="1">
        <f t="array" aca="1" ref="C52" ca="1">IF(B52="","",IF(INDIRECT("'"&amp;$Q$3&amp;"'!"&amp;$Q$6&amp;(B52+1))=1,"ON","OFF"))</f>
        <v/>
      </c>
      <c r="D52" s="87" t="str" cm="1">
        <f t="array" aca="1" ref="D52" ca="1">IF(B52="","",IFERROR((INDIRECT("'"&amp;$Q$3&amp;"'!A"&amp;(B52+1))-INDIRECT("'"&amp;$Q$3&amp;"'!A2"))*86400,""))</f>
        <v/>
      </c>
      <c r="E52" s="88" t="str">
        <f t="shared" ca="1" si="1"/>
        <v/>
      </c>
      <c r="G52" s="60">
        <v>16</v>
      </c>
      <c r="H52" s="86" cm="1">
        <f t="array" aca="1" ref="H5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16),"")</f>
        <v>440</v>
      </c>
      <c r="I52" s="86" t="str" cm="1">
        <f t="array" aca="1" ref="I52" ca="1">IF(H52="","",IF(INDIRECT("'"&amp;$Q$3&amp;"'!"&amp;$Q$7&amp;(H52+1))=1,"ON","OFF"))</f>
        <v>ON</v>
      </c>
      <c r="J52" s="87" cm="1">
        <f t="array" aca="1" ref="J52" ca="1">IF(H52="","",IFERROR((INDIRECT("'"&amp;$Q$3&amp;"'!A"&amp;(H52+1))-INDIRECT("'"&amp;$Q$3&amp;"'!A2"))*86400,""))</f>
        <v>4.4329999999966674</v>
      </c>
      <c r="K52" s="88">
        <f t="shared" ca="1" si="2"/>
        <v>529</v>
      </c>
    </row>
    <row r="53" spans="1:11" x14ac:dyDescent="0.25">
      <c r="A53" s="60">
        <v>17</v>
      </c>
      <c r="B53" s="86" t="str" cm="1">
        <f t="array" aca="1" ref="B5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17),"")</f>
        <v/>
      </c>
      <c r="C53" s="86" t="str" cm="1">
        <f t="array" aca="1" ref="C53" ca="1">IF(B53="","",IF(INDIRECT("'"&amp;$Q$3&amp;"'!"&amp;$Q$6&amp;(B53+1))=1,"ON","OFF"))</f>
        <v/>
      </c>
      <c r="D53" s="87" t="str" cm="1">
        <f t="array" aca="1" ref="D53" ca="1">IF(B53="","",IFERROR((INDIRECT("'"&amp;$Q$3&amp;"'!A"&amp;(B53+1))-INDIRECT("'"&amp;$Q$3&amp;"'!A2"))*86400,""))</f>
        <v/>
      </c>
      <c r="E53" s="88" t="str">
        <f t="shared" ca="1" si="1"/>
        <v/>
      </c>
      <c r="G53" s="60">
        <v>17</v>
      </c>
      <c r="H53" s="86" cm="1">
        <f t="array" aca="1" ref="H5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17),"")</f>
        <v>493</v>
      </c>
      <c r="I53" s="86" t="str" cm="1">
        <f t="array" aca="1" ref="I53" ca="1">IF(H53="","",IF(INDIRECT("'"&amp;$Q$3&amp;"'!"&amp;$Q$7&amp;(H53+1))=1,"ON","OFF"))</f>
        <v>OFF</v>
      </c>
      <c r="J53" s="87" cm="1">
        <f t="array" aca="1" ref="J53" ca="1">IF(H53="","",IFERROR((INDIRECT("'"&amp;$Q$3&amp;"'!A"&amp;(H53+1))-INDIRECT("'"&amp;$Q$3&amp;"'!A2"))*86400,""))</f>
        <v>4.9619999999965358</v>
      </c>
      <c r="K53" s="88">
        <f t="shared" ca="1" si="2"/>
        <v>70</v>
      </c>
    </row>
    <row r="54" spans="1:11" x14ac:dyDescent="0.25">
      <c r="A54" s="60">
        <v>18</v>
      </c>
      <c r="B54" s="86" t="str" cm="1">
        <f t="array" aca="1" ref="B5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18),"")</f>
        <v/>
      </c>
      <c r="C54" s="86" t="str" cm="1">
        <f t="array" aca="1" ref="C54" ca="1">IF(B54="","",IF(INDIRECT("'"&amp;$Q$3&amp;"'!"&amp;$Q$6&amp;(B54+1))=1,"ON","OFF"))</f>
        <v/>
      </c>
      <c r="D54" s="87" t="str" cm="1">
        <f t="array" aca="1" ref="D54" ca="1">IF(B54="","",IFERROR((INDIRECT("'"&amp;$Q$3&amp;"'!A"&amp;(B54+1))-INDIRECT("'"&amp;$Q$3&amp;"'!A2"))*86400,""))</f>
        <v/>
      </c>
      <c r="E54" s="88" t="str">
        <f t="shared" ca="1" si="1"/>
        <v/>
      </c>
      <c r="G54" s="60">
        <v>18</v>
      </c>
      <c r="H54" s="86" cm="1">
        <f t="array" aca="1" ref="H5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18),"")</f>
        <v>500</v>
      </c>
      <c r="I54" s="86" t="str" cm="1">
        <f t="array" aca="1" ref="I54" ca="1">IF(H54="","",IF(INDIRECT("'"&amp;$Q$3&amp;"'!"&amp;$Q$7&amp;(H54+1))=1,"ON","OFF"))</f>
        <v>ON</v>
      </c>
      <c r="J54" s="87" cm="1">
        <f t="array" aca="1" ref="J54" ca="1">IF(H54="","",IFERROR((INDIRECT("'"&amp;$Q$3&amp;"'!A"&amp;(H54+1))-INDIRECT("'"&amp;$Q$3&amp;"'!A2"))*86400,""))</f>
        <v>5.0319999999945964</v>
      </c>
      <c r="K54" s="88">
        <f t="shared" ca="1" si="2"/>
        <v>529</v>
      </c>
    </row>
    <row r="55" spans="1:11" x14ac:dyDescent="0.25">
      <c r="A55" s="60">
        <v>19</v>
      </c>
      <c r="B55" s="86" t="str" cm="1">
        <f t="array" aca="1" ref="B5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19),"")</f>
        <v/>
      </c>
      <c r="C55" s="86" t="str" cm="1">
        <f t="array" aca="1" ref="C55" ca="1">IF(B55="","",IF(INDIRECT("'"&amp;$Q$3&amp;"'!"&amp;$Q$6&amp;(B55+1))=1,"ON","OFF"))</f>
        <v/>
      </c>
      <c r="D55" s="87" t="str" cm="1">
        <f t="array" aca="1" ref="D55" ca="1">IF(B55="","",IFERROR((INDIRECT("'"&amp;$Q$3&amp;"'!A"&amp;(B55+1))-INDIRECT("'"&amp;$Q$3&amp;"'!A2"))*86400,""))</f>
        <v/>
      </c>
      <c r="E55" s="88" t="str">
        <f t="shared" ca="1" si="1"/>
        <v/>
      </c>
      <c r="G55" s="60">
        <v>19</v>
      </c>
      <c r="H55" s="86" cm="1">
        <f t="array" aca="1" ref="H5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19),"")</f>
        <v>552</v>
      </c>
      <c r="I55" s="86" t="str" cm="1">
        <f t="array" aca="1" ref="I55" ca="1">IF(H55="","",IF(INDIRECT("'"&amp;$Q$3&amp;"'!"&amp;$Q$7&amp;(H55+1))=1,"ON","OFF"))</f>
        <v>OFF</v>
      </c>
      <c r="J55" s="87" cm="1">
        <f t="array" aca="1" ref="J55" ca="1">IF(H55="","",IFERROR((INDIRECT("'"&amp;$Q$3&amp;"'!A"&amp;(H55+1))-INDIRECT("'"&amp;$Q$3&amp;"'!A2"))*86400,""))</f>
        <v>5.5609999999944648</v>
      </c>
      <c r="K55" s="88">
        <f t="shared" ca="1" si="2"/>
        <v>70</v>
      </c>
    </row>
    <row r="56" spans="1:11" x14ac:dyDescent="0.25">
      <c r="A56" s="60">
        <v>20</v>
      </c>
      <c r="B56" s="86" t="str" cm="1">
        <f t="array" aca="1" ref="B5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20),"")</f>
        <v/>
      </c>
      <c r="C56" s="86" t="str" cm="1">
        <f t="array" aca="1" ref="C56" ca="1">IF(B56="","",IF(INDIRECT("'"&amp;$Q$3&amp;"'!"&amp;$Q$6&amp;(B56+1))=1,"ON","OFF"))</f>
        <v/>
      </c>
      <c r="D56" s="87" t="str" cm="1">
        <f t="array" aca="1" ref="D56" ca="1">IF(B56="","",IFERROR((INDIRECT("'"&amp;$Q$3&amp;"'!A"&amp;(B56+1))-INDIRECT("'"&amp;$Q$3&amp;"'!A2"))*86400,""))</f>
        <v/>
      </c>
      <c r="E56" s="88" t="str">
        <f t="shared" ca="1" si="1"/>
        <v/>
      </c>
      <c r="G56" s="60">
        <v>20</v>
      </c>
      <c r="H56" s="86" cm="1">
        <f t="array" aca="1" ref="H5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20),"")</f>
        <v>559</v>
      </c>
      <c r="I56" s="86" t="str" cm="1">
        <f t="array" aca="1" ref="I56" ca="1">IF(H56="","",IF(INDIRECT("'"&amp;$Q$3&amp;"'!"&amp;$Q$7&amp;(H56+1))=1,"ON","OFF"))</f>
        <v>ON</v>
      </c>
      <c r="J56" s="87" cm="1">
        <f t="array" aca="1" ref="J56" ca="1">IF(H56="","",IFERROR((INDIRECT("'"&amp;$Q$3&amp;"'!A"&amp;(H56+1))-INDIRECT("'"&amp;$Q$3&amp;"'!A2"))*86400,""))</f>
        <v>5.6310000000021176</v>
      </c>
      <c r="K56" s="88">
        <f t="shared" ca="1" si="2"/>
        <v>520</v>
      </c>
    </row>
    <row r="57" spans="1:11" x14ac:dyDescent="0.25">
      <c r="A57" s="60">
        <v>21</v>
      </c>
      <c r="B57" s="86" t="str" cm="1">
        <f t="array" aca="1" ref="B5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21),"")</f>
        <v/>
      </c>
      <c r="C57" s="86" t="str" cm="1">
        <f t="array" aca="1" ref="C57" ca="1">IF(B57="","",IF(INDIRECT("'"&amp;$Q$3&amp;"'!"&amp;$Q$6&amp;(B57+1))=1,"ON","OFF"))</f>
        <v/>
      </c>
      <c r="D57" s="87" t="str" cm="1">
        <f t="array" aca="1" ref="D57" ca="1">IF(B57="","",IFERROR((INDIRECT("'"&amp;$Q$3&amp;"'!A"&amp;(B57+1))-INDIRECT("'"&amp;$Q$3&amp;"'!A2"))*86400,""))</f>
        <v/>
      </c>
      <c r="E57" s="88" t="str">
        <f t="shared" ca="1" si="1"/>
        <v/>
      </c>
      <c r="G57" s="60">
        <v>21</v>
      </c>
      <c r="H57" s="86" cm="1">
        <f t="array" aca="1" ref="H5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21),"")</f>
        <v>611</v>
      </c>
      <c r="I57" s="86" t="str" cm="1">
        <f t="array" aca="1" ref="I57" ca="1">IF(H57="","",IF(INDIRECT("'"&amp;$Q$3&amp;"'!"&amp;$Q$7&amp;(H57+1))=1,"ON","OFF"))</f>
        <v>OFF</v>
      </c>
      <c r="J57" s="87" cm="1">
        <f t="array" aca="1" ref="J57" ca="1">IF(H57="","",IFERROR((INDIRECT("'"&amp;$Q$3&amp;"'!A"&amp;(H57+1))-INDIRECT("'"&amp;$Q$3&amp;"'!A2"))*86400,""))</f>
        <v>6.1509999999959319</v>
      </c>
      <c r="K57" s="88">
        <f t="shared" ca="1" si="2"/>
        <v>79</v>
      </c>
    </row>
    <row r="58" spans="1:11" x14ac:dyDescent="0.25">
      <c r="A58" s="60">
        <v>22</v>
      </c>
      <c r="B58" s="86" t="str" cm="1">
        <f t="array" aca="1" ref="B5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22),"")</f>
        <v/>
      </c>
      <c r="C58" s="86" t="str" cm="1">
        <f t="array" aca="1" ref="C58" ca="1">IF(B58="","",IF(INDIRECT("'"&amp;$Q$3&amp;"'!"&amp;$Q$6&amp;(B58+1))=1,"ON","OFF"))</f>
        <v/>
      </c>
      <c r="D58" s="87" t="str" cm="1">
        <f t="array" aca="1" ref="D58" ca="1">IF(B58="","",IFERROR((INDIRECT("'"&amp;$Q$3&amp;"'!A"&amp;(B58+1))-INDIRECT("'"&amp;$Q$3&amp;"'!A2"))*86400,""))</f>
        <v/>
      </c>
      <c r="E58" s="88" t="str">
        <f t="shared" ca="1" si="1"/>
        <v/>
      </c>
      <c r="G58" s="60">
        <v>22</v>
      </c>
      <c r="H58" s="86" cm="1">
        <f t="array" aca="1" ref="H5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22),"")</f>
        <v>618</v>
      </c>
      <c r="I58" s="86" t="str" cm="1">
        <f t="array" aca="1" ref="I58" ca="1">IF(H58="","",IF(INDIRECT("'"&amp;$Q$3&amp;"'!"&amp;$Q$7&amp;(H58+1))=1,"ON","OFF"))</f>
        <v>ON</v>
      </c>
      <c r="J58" s="87" cm="1">
        <f t="array" aca="1" ref="J58" ca="1">IF(H58="","",IFERROR((INDIRECT("'"&amp;$Q$3&amp;"'!A"&amp;(H58+1))-INDIRECT("'"&amp;$Q$3&amp;"'!A2"))*86400,""))</f>
        <v>6.2300000000000466</v>
      </c>
      <c r="K58" s="88">
        <f t="shared" ca="1" si="2"/>
        <v>530</v>
      </c>
    </row>
    <row r="59" spans="1:11" x14ac:dyDescent="0.25">
      <c r="A59" s="60">
        <v>23</v>
      </c>
      <c r="B59" s="86" t="str" cm="1">
        <f t="array" aca="1" ref="B5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23),"")</f>
        <v/>
      </c>
      <c r="C59" s="86" t="str" cm="1">
        <f t="array" aca="1" ref="C59" ca="1">IF(B59="","",IF(INDIRECT("'"&amp;$Q$3&amp;"'!"&amp;$Q$6&amp;(B59+1))=1,"ON","OFF"))</f>
        <v/>
      </c>
      <c r="D59" s="87" t="str" cm="1">
        <f t="array" aca="1" ref="D59" ca="1">IF(B59="","",IFERROR((INDIRECT("'"&amp;$Q$3&amp;"'!A"&amp;(B59+1))-INDIRECT("'"&amp;$Q$3&amp;"'!A2"))*86400,""))</f>
        <v/>
      </c>
      <c r="E59" s="88" t="str">
        <f t="shared" ca="1" si="1"/>
        <v/>
      </c>
      <c r="G59" s="60">
        <v>23</v>
      </c>
      <c r="H59" s="86" cm="1">
        <f t="array" aca="1" ref="H5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23),"")</f>
        <v>671</v>
      </c>
      <c r="I59" s="86" t="str" cm="1">
        <f t="array" aca="1" ref="I59" ca="1">IF(H59="","",IF(INDIRECT("'"&amp;$Q$3&amp;"'!"&amp;$Q$7&amp;(H59+1))=1,"ON","OFF"))</f>
        <v>OFF</v>
      </c>
      <c r="J59" s="87" cm="1">
        <f t="array" aca="1" ref="J59" ca="1">IF(H59="","",IFERROR((INDIRECT("'"&amp;$Q$3&amp;"'!A"&amp;(H59+1))-INDIRECT("'"&amp;$Q$3&amp;"'!A2"))*86400,""))</f>
        <v>6.7599999999963245</v>
      </c>
      <c r="K59" s="88">
        <f t="shared" ca="1" si="2"/>
        <v>79</v>
      </c>
    </row>
    <row r="60" spans="1:11" x14ac:dyDescent="0.25">
      <c r="A60" s="60">
        <v>24</v>
      </c>
      <c r="B60" s="86" t="str" cm="1">
        <f t="array" aca="1" ref="B6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24),"")</f>
        <v/>
      </c>
      <c r="C60" s="86" t="str" cm="1">
        <f t="array" aca="1" ref="C60" ca="1">IF(B60="","",IF(INDIRECT("'"&amp;$Q$3&amp;"'!"&amp;$Q$6&amp;(B60+1))=1,"ON","OFF"))</f>
        <v/>
      </c>
      <c r="D60" s="87" t="str" cm="1">
        <f t="array" aca="1" ref="D60" ca="1">IF(B60="","",IFERROR((INDIRECT("'"&amp;$Q$3&amp;"'!A"&amp;(B60+1))-INDIRECT("'"&amp;$Q$3&amp;"'!A2"))*86400,""))</f>
        <v/>
      </c>
      <c r="E60" s="88" t="str">
        <f t="shared" ca="1" si="1"/>
        <v/>
      </c>
      <c r="G60" s="60">
        <v>24</v>
      </c>
      <c r="H60" s="86" cm="1">
        <f t="array" aca="1" ref="H6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24),"")</f>
        <v>679</v>
      </c>
      <c r="I60" s="86" t="str" cm="1">
        <f t="array" aca="1" ref="I60" ca="1">IF(H60="","",IF(INDIRECT("'"&amp;$Q$3&amp;"'!"&amp;$Q$7&amp;(H60+1))=1,"ON","OFF"))</f>
        <v>ON</v>
      </c>
      <c r="J60" s="87" cm="1">
        <f t="array" aca="1" ref="J60" ca="1">IF(H60="","",IFERROR((INDIRECT("'"&amp;$Q$3&amp;"'!A"&amp;(H60+1))-INDIRECT("'"&amp;$Q$3&amp;"'!A2"))*86400,""))</f>
        <v>6.8390000000004392</v>
      </c>
      <c r="K60" s="88">
        <f t="shared" ca="1" si="2"/>
        <v>519</v>
      </c>
    </row>
    <row r="61" spans="1:11" x14ac:dyDescent="0.25">
      <c r="A61" s="60">
        <v>25</v>
      </c>
      <c r="B61" s="86" t="str" cm="1">
        <f t="array" aca="1" ref="B6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25),"")</f>
        <v/>
      </c>
      <c r="C61" s="86" t="str" cm="1">
        <f t="array" aca="1" ref="C61" ca="1">IF(B61="","",IF(INDIRECT("'"&amp;$Q$3&amp;"'!"&amp;$Q$6&amp;(B61+1))=1,"ON","OFF"))</f>
        <v/>
      </c>
      <c r="D61" s="87" t="str" cm="1">
        <f t="array" aca="1" ref="D61" ca="1">IF(B61="","",IFERROR((INDIRECT("'"&amp;$Q$3&amp;"'!A"&amp;(B61+1))-INDIRECT("'"&amp;$Q$3&amp;"'!A2"))*86400,""))</f>
        <v/>
      </c>
      <c r="E61" s="88" t="str">
        <f t="shared" ca="1" si="1"/>
        <v/>
      </c>
      <c r="G61" s="60">
        <v>25</v>
      </c>
      <c r="H61" s="86" cm="1">
        <f t="array" aca="1" ref="H6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25),"")</f>
        <v>730</v>
      </c>
      <c r="I61" s="86" t="str" cm="1">
        <f t="array" aca="1" ref="I61" ca="1">IF(H61="","",IF(INDIRECT("'"&amp;$Q$3&amp;"'!"&amp;$Q$7&amp;(H61+1))=1,"ON","OFF"))</f>
        <v>OFF</v>
      </c>
      <c r="J61" s="87" cm="1">
        <f t="array" aca="1" ref="J61" ca="1">IF(H61="","",IFERROR((INDIRECT("'"&amp;$Q$3&amp;"'!A"&amp;(H61+1))-INDIRECT("'"&amp;$Q$3&amp;"'!A2"))*86400,""))</f>
        <v>7.357999999997844</v>
      </c>
      <c r="K61" s="88">
        <f t="shared" ca="1" si="2"/>
        <v>80</v>
      </c>
    </row>
    <row r="62" spans="1:11" x14ac:dyDescent="0.25">
      <c r="A62" s="60">
        <v>26</v>
      </c>
      <c r="B62" s="86" t="str" cm="1">
        <f t="array" aca="1" ref="B6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26),"")</f>
        <v/>
      </c>
      <c r="C62" s="86" t="str" cm="1">
        <f t="array" aca="1" ref="C62" ca="1">IF(B62="","",IF(INDIRECT("'"&amp;$Q$3&amp;"'!"&amp;$Q$6&amp;(B62+1))=1,"ON","OFF"))</f>
        <v/>
      </c>
      <c r="D62" s="87" t="str" cm="1">
        <f t="array" aca="1" ref="D62" ca="1">IF(B62="","",IFERROR((INDIRECT("'"&amp;$Q$3&amp;"'!A"&amp;(B62+1))-INDIRECT("'"&amp;$Q$3&amp;"'!A2"))*86400,""))</f>
        <v/>
      </c>
      <c r="E62" s="88" t="str">
        <f t="shared" ca="1" si="1"/>
        <v/>
      </c>
      <c r="G62" s="60">
        <v>26</v>
      </c>
      <c r="H62" s="86" cm="1">
        <f t="array" aca="1" ref="H6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26),"")</f>
        <v>738</v>
      </c>
      <c r="I62" s="86" t="str" cm="1">
        <f t="array" aca="1" ref="I62" ca="1">IF(H62="","",IF(INDIRECT("'"&amp;$Q$3&amp;"'!"&amp;$Q$7&amp;(H62+1))=1,"ON","OFF"))</f>
        <v>ON</v>
      </c>
      <c r="J62" s="87" cm="1">
        <f t="array" aca="1" ref="J62" ca="1">IF(H62="","",IFERROR((INDIRECT("'"&amp;$Q$3&amp;"'!A"&amp;(H62+1))-INDIRECT("'"&amp;$Q$3&amp;"'!A2"))*86400,""))</f>
        <v>7.4379999999983681</v>
      </c>
      <c r="K62" s="88">
        <f t="shared" ca="1" si="2"/>
        <v>520</v>
      </c>
    </row>
    <row r="63" spans="1:11" x14ac:dyDescent="0.25">
      <c r="A63" s="60">
        <v>27</v>
      </c>
      <c r="B63" s="86" t="str" cm="1">
        <f t="array" aca="1" ref="B6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27),"")</f>
        <v/>
      </c>
      <c r="C63" s="86" t="str" cm="1">
        <f t="array" aca="1" ref="C63" ca="1">IF(B63="","",IF(INDIRECT("'"&amp;$Q$3&amp;"'!"&amp;$Q$6&amp;(B63+1))=1,"ON","OFF"))</f>
        <v/>
      </c>
      <c r="D63" s="87" t="str" cm="1">
        <f t="array" aca="1" ref="D63" ca="1">IF(B63="","",IFERROR((INDIRECT("'"&amp;$Q$3&amp;"'!A"&amp;(B63+1))-INDIRECT("'"&amp;$Q$3&amp;"'!A2"))*86400,""))</f>
        <v/>
      </c>
      <c r="E63" s="88" t="str">
        <f t="shared" ca="1" si="1"/>
        <v/>
      </c>
      <c r="G63" s="60">
        <v>27</v>
      </c>
      <c r="H63" s="86" cm="1">
        <f t="array" aca="1" ref="H6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27),"")</f>
        <v>790</v>
      </c>
      <c r="I63" s="86" t="str" cm="1">
        <f t="array" aca="1" ref="I63" ca="1">IF(H63="","",IF(INDIRECT("'"&amp;$Q$3&amp;"'!"&amp;$Q$7&amp;(H63+1))=1,"ON","OFF"))</f>
        <v>OFF</v>
      </c>
      <c r="J63" s="87" cm="1">
        <f t="array" aca="1" ref="J63" ca="1">IF(H63="","",IFERROR((INDIRECT("'"&amp;$Q$3&amp;"'!A"&amp;(H63+1))-INDIRECT("'"&amp;$Q$3&amp;"'!A2"))*86400,""))</f>
        <v>7.9580000000017748</v>
      </c>
      <c r="K63" s="88">
        <f t="shared" ca="1" si="2"/>
        <v>79</v>
      </c>
    </row>
    <row r="64" spans="1:11" x14ac:dyDescent="0.25">
      <c r="A64" s="60">
        <v>28</v>
      </c>
      <c r="B64" s="86" t="str" cm="1">
        <f t="array" aca="1" ref="B6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28),"")</f>
        <v/>
      </c>
      <c r="C64" s="86" t="str" cm="1">
        <f t="array" aca="1" ref="C64" ca="1">IF(B64="","",IF(INDIRECT("'"&amp;$Q$3&amp;"'!"&amp;$Q$6&amp;(B64+1))=1,"ON","OFF"))</f>
        <v/>
      </c>
      <c r="D64" s="87" t="str" cm="1">
        <f t="array" aca="1" ref="D64" ca="1">IF(B64="","",IFERROR((INDIRECT("'"&amp;$Q$3&amp;"'!A"&amp;(B64+1))-INDIRECT("'"&amp;$Q$3&amp;"'!A2"))*86400,""))</f>
        <v/>
      </c>
      <c r="E64" s="88" t="str">
        <f t="shared" ca="1" si="1"/>
        <v/>
      </c>
      <c r="G64" s="60">
        <v>28</v>
      </c>
      <c r="H64" s="86" cm="1">
        <f t="array" aca="1" ref="H6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28),"")</f>
        <v>798</v>
      </c>
      <c r="I64" s="86" t="str" cm="1">
        <f t="array" aca="1" ref="I64" ca="1">IF(H64="","",IF(INDIRECT("'"&amp;$Q$3&amp;"'!"&amp;$Q$7&amp;(H64+1))=1,"ON","OFF"))</f>
        <v>ON</v>
      </c>
      <c r="J64" s="87" cm="1">
        <f t="array" aca="1" ref="J64" ca="1">IF(H64="","",IFERROR((INDIRECT("'"&amp;$Q$3&amp;"'!A"&amp;(H64+1))-INDIRECT("'"&amp;$Q$3&amp;"'!A2"))*86400,""))</f>
        <v>8.0369999999962971</v>
      </c>
      <c r="K64" s="88">
        <f t="shared" ca="1" si="2"/>
        <v>520</v>
      </c>
    </row>
    <row r="65" spans="1:11" x14ac:dyDescent="0.25">
      <c r="A65" s="60">
        <v>29</v>
      </c>
      <c r="B65" s="86" t="str" cm="1">
        <f t="array" aca="1" ref="B6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29),"")</f>
        <v/>
      </c>
      <c r="C65" s="86" t="str" cm="1">
        <f t="array" aca="1" ref="C65" ca="1">IF(B65="","",IF(INDIRECT("'"&amp;$Q$3&amp;"'!"&amp;$Q$6&amp;(B65+1))=1,"ON","OFF"))</f>
        <v/>
      </c>
      <c r="D65" s="87" t="str" cm="1">
        <f t="array" aca="1" ref="D65" ca="1">IF(B65="","",IFERROR((INDIRECT("'"&amp;$Q$3&amp;"'!A"&amp;(B65+1))-INDIRECT("'"&amp;$Q$3&amp;"'!A2"))*86400,""))</f>
        <v/>
      </c>
      <c r="E65" s="88" t="str">
        <f t="shared" ca="1" si="1"/>
        <v/>
      </c>
      <c r="G65" s="60">
        <v>29</v>
      </c>
      <c r="H65" s="86" cm="1">
        <f t="array" aca="1" ref="H6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29),"")</f>
        <v>849</v>
      </c>
      <c r="I65" s="86" t="str" cm="1">
        <f t="array" aca="1" ref="I65" ca="1">IF(H65="","",IF(INDIRECT("'"&amp;$Q$3&amp;"'!"&amp;$Q$7&amp;(H65+1))=1,"ON","OFF"))</f>
        <v>OFF</v>
      </c>
      <c r="J65" s="87" cm="1">
        <f t="array" aca="1" ref="J65" ca="1">IF(H65="","",IFERROR((INDIRECT("'"&amp;$Q$3&amp;"'!A"&amp;(H65+1))-INDIRECT("'"&amp;$Q$3&amp;"'!A2"))*86400,""))</f>
        <v>8.5569999999997037</v>
      </c>
      <c r="K65" s="88">
        <f t="shared" ca="1" si="2"/>
        <v>80</v>
      </c>
    </row>
    <row r="66" spans="1:11" x14ac:dyDescent="0.25">
      <c r="A66" s="60">
        <v>30</v>
      </c>
      <c r="B66" s="86" t="str" cm="1">
        <f t="array" aca="1" ref="B6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30),"")</f>
        <v/>
      </c>
      <c r="C66" s="86" t="str" cm="1">
        <f t="array" aca="1" ref="C66" ca="1">IF(B66="","",IF(INDIRECT("'"&amp;$Q$3&amp;"'!"&amp;$Q$6&amp;(B66+1))=1,"ON","OFF"))</f>
        <v/>
      </c>
      <c r="D66" s="87" t="str" cm="1">
        <f t="array" aca="1" ref="D66" ca="1">IF(B66="","",IFERROR((INDIRECT("'"&amp;$Q$3&amp;"'!A"&amp;(B66+1))-INDIRECT("'"&amp;$Q$3&amp;"'!A2"))*86400,""))</f>
        <v/>
      </c>
      <c r="E66" s="88" t="str">
        <f t="shared" ca="1" si="1"/>
        <v/>
      </c>
      <c r="G66" s="60">
        <v>30</v>
      </c>
      <c r="H66" s="86" cm="1">
        <f t="array" aca="1" ref="H6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30),"")</f>
        <v>857</v>
      </c>
      <c r="I66" s="86" t="str" cm="1">
        <f t="array" aca="1" ref="I66" ca="1">IF(H66="","",IF(INDIRECT("'"&amp;$Q$3&amp;"'!"&amp;$Q$7&amp;(H66+1))=1,"ON","OFF"))</f>
        <v>ON</v>
      </c>
      <c r="J66" s="87" cm="1">
        <f t="array" aca="1" ref="J66" ca="1">IF(H66="","",IFERROR((INDIRECT("'"&amp;$Q$3&amp;"'!A"&amp;(H66+1))-INDIRECT("'"&amp;$Q$3&amp;"'!A2"))*86400,""))</f>
        <v>8.6370000000002278</v>
      </c>
      <c r="K66" s="88">
        <f t="shared" ca="1" si="2"/>
        <v>509</v>
      </c>
    </row>
    <row r="67" spans="1:11" x14ac:dyDescent="0.25">
      <c r="A67" s="60">
        <v>31</v>
      </c>
      <c r="B67" s="86" t="str" cm="1">
        <f t="array" aca="1" ref="B6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31),"")</f>
        <v/>
      </c>
      <c r="C67" s="86" t="str" cm="1">
        <f t="array" aca="1" ref="C67" ca="1">IF(B67="","",IF(INDIRECT("'"&amp;$Q$3&amp;"'!"&amp;$Q$6&amp;(B67+1))=1,"ON","OFF"))</f>
        <v/>
      </c>
      <c r="D67" s="87" t="str" cm="1">
        <f t="array" aca="1" ref="D67" ca="1">IF(B67="","",IFERROR((INDIRECT("'"&amp;$Q$3&amp;"'!A"&amp;(B67+1))-INDIRECT("'"&amp;$Q$3&amp;"'!A2"))*86400,""))</f>
        <v/>
      </c>
      <c r="E67" s="88" t="str">
        <f t="shared" ca="1" si="1"/>
        <v/>
      </c>
      <c r="G67" s="60">
        <v>31</v>
      </c>
      <c r="H67" s="86" cm="1">
        <f t="array" aca="1" ref="H6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31),"")</f>
        <v>908</v>
      </c>
      <c r="I67" s="86" t="str" cm="1">
        <f t="array" aca="1" ref="I67" ca="1">IF(H67="","",IF(INDIRECT("'"&amp;$Q$3&amp;"'!"&amp;$Q$7&amp;(H67+1))=1,"ON","OFF"))</f>
        <v>OFF</v>
      </c>
      <c r="J67" s="87" cm="1">
        <f t="array" aca="1" ref="J67" ca="1">IF(H67="","",IFERROR((INDIRECT("'"&amp;$Q$3&amp;"'!A"&amp;(H67+1))-INDIRECT("'"&amp;$Q$3&amp;"'!A2"))*86400,""))</f>
        <v>9.1459999999951691</v>
      </c>
      <c r="K67" s="88">
        <f t="shared" ca="1" si="2"/>
        <v>89</v>
      </c>
    </row>
    <row r="68" spans="1:11" x14ac:dyDescent="0.25">
      <c r="A68" s="60">
        <v>32</v>
      </c>
      <c r="B68" s="86" t="str" cm="1">
        <f t="array" aca="1" ref="B6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32),"")</f>
        <v/>
      </c>
      <c r="C68" s="86" t="str" cm="1">
        <f t="array" aca="1" ref="C68" ca="1">IF(B68="","",IF(INDIRECT("'"&amp;$Q$3&amp;"'!"&amp;$Q$6&amp;(B68+1))=1,"ON","OFF"))</f>
        <v/>
      </c>
      <c r="D68" s="87" t="str" cm="1">
        <f t="array" aca="1" ref="D68" ca="1">IF(B68="","",IFERROR((INDIRECT("'"&amp;$Q$3&amp;"'!A"&amp;(B68+1))-INDIRECT("'"&amp;$Q$3&amp;"'!A2"))*86400,""))</f>
        <v/>
      </c>
      <c r="E68" s="88" t="str">
        <f t="shared" ca="1" si="1"/>
        <v/>
      </c>
      <c r="G68" s="60">
        <v>32</v>
      </c>
      <c r="H68" s="86" cm="1">
        <f t="array" aca="1" ref="H6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32),"")</f>
        <v>916</v>
      </c>
      <c r="I68" s="86" t="str" cm="1">
        <f t="array" aca="1" ref="I68" ca="1">IF(H68="","",IF(INDIRECT("'"&amp;$Q$3&amp;"'!"&amp;$Q$7&amp;(H68+1))=1,"ON","OFF"))</f>
        <v>ON</v>
      </c>
      <c r="J68" s="87" cm="1">
        <f t="array" aca="1" ref="J68" ca="1">IF(H68="","",IFERROR((INDIRECT("'"&amp;$Q$3&amp;"'!A"&amp;(H68+1))-INDIRECT("'"&amp;$Q$3&amp;"'!A2"))*86400,""))</f>
        <v>9.2350000000017474</v>
      </c>
      <c r="K68" s="88">
        <f t="shared" ca="1" si="2"/>
        <v>520</v>
      </c>
    </row>
    <row r="69" spans="1:11" x14ac:dyDescent="0.25">
      <c r="A69" s="60">
        <v>33</v>
      </c>
      <c r="B69" s="86" t="str" cm="1">
        <f t="array" aca="1" ref="B6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33),"")</f>
        <v/>
      </c>
      <c r="C69" s="86" t="str" cm="1">
        <f t="array" aca="1" ref="C69" ca="1">IF(B69="","",IF(INDIRECT("'"&amp;$Q$3&amp;"'!"&amp;$Q$6&amp;(B69+1))=1,"ON","OFF"))</f>
        <v/>
      </c>
      <c r="D69" s="87" t="str" cm="1">
        <f t="array" aca="1" ref="D69" ca="1">IF(B69="","",IFERROR((INDIRECT("'"&amp;$Q$3&amp;"'!A"&amp;(B69+1))-INDIRECT("'"&amp;$Q$3&amp;"'!A2"))*86400,""))</f>
        <v/>
      </c>
      <c r="E69" s="88" t="str">
        <f t="shared" ref="E69:E100" ca="1" si="3">IF(OR(B69="",B70=""),"",ROUND((D70-D69)*1000,0))</f>
        <v/>
      </c>
      <c r="G69" s="60">
        <v>33</v>
      </c>
      <c r="H69" s="86" cm="1">
        <f t="array" aca="1" ref="H6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33),"")</f>
        <v>968</v>
      </c>
      <c r="I69" s="86" t="str" cm="1">
        <f t="array" aca="1" ref="I69" ca="1">IF(H69="","",IF(INDIRECT("'"&amp;$Q$3&amp;"'!"&amp;$Q$7&amp;(H69+1))=1,"ON","OFF"))</f>
        <v>OFF</v>
      </c>
      <c r="J69" s="87" cm="1">
        <f t="array" aca="1" ref="J69" ca="1">IF(H69="","",IFERROR((INDIRECT("'"&amp;$Q$3&amp;"'!A"&amp;(H69+1))-INDIRECT("'"&amp;$Q$3&amp;"'!A2"))*86400,""))</f>
        <v>9.7549999999955617</v>
      </c>
      <c r="K69" s="88">
        <f t="shared" ref="K69:K100" ca="1" si="4">IF(OR(H69="",H70=""),"",ROUND((J70-J69)*1000,0))</f>
        <v>80</v>
      </c>
    </row>
    <row r="70" spans="1:11" x14ac:dyDescent="0.25">
      <c r="A70" s="60">
        <v>34</v>
      </c>
      <c r="B70" s="86" t="str" cm="1">
        <f t="array" aca="1" ref="B7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34),"")</f>
        <v/>
      </c>
      <c r="C70" s="86" t="str" cm="1">
        <f t="array" aca="1" ref="C70" ca="1">IF(B70="","",IF(INDIRECT("'"&amp;$Q$3&amp;"'!"&amp;$Q$6&amp;(B70+1))=1,"ON","OFF"))</f>
        <v/>
      </c>
      <c r="D70" s="87" t="str" cm="1">
        <f t="array" aca="1" ref="D70" ca="1">IF(B70="","",IFERROR((INDIRECT("'"&amp;$Q$3&amp;"'!A"&amp;(B70+1))-INDIRECT("'"&amp;$Q$3&amp;"'!A2"))*86400,""))</f>
        <v/>
      </c>
      <c r="E70" s="88" t="str">
        <f t="shared" ca="1" si="3"/>
        <v/>
      </c>
      <c r="G70" s="60">
        <v>34</v>
      </c>
      <c r="H70" s="86" cm="1">
        <f t="array" aca="1" ref="H7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34),"")</f>
        <v>976</v>
      </c>
      <c r="I70" s="86" t="str" cm="1">
        <f t="array" aca="1" ref="I70" ca="1">IF(H70="","",IF(INDIRECT("'"&amp;$Q$3&amp;"'!"&amp;$Q$7&amp;(H70+1))=1,"ON","OFF"))</f>
        <v>ON</v>
      </c>
      <c r="J70" s="87" cm="1">
        <f t="array" aca="1" ref="J70" ca="1">IF(H70="","",IFERROR((INDIRECT("'"&amp;$Q$3&amp;"'!A"&amp;(H70+1))-INDIRECT("'"&amp;$Q$3&amp;"'!A2"))*86400,""))</f>
        <v>9.8349999999960858</v>
      </c>
      <c r="K70" s="88" t="str">
        <f t="shared" ca="1" si="4"/>
        <v/>
      </c>
    </row>
    <row r="71" spans="1:11" x14ac:dyDescent="0.25">
      <c r="A71" s="60">
        <v>35</v>
      </c>
      <c r="B71" s="86" t="str" cm="1">
        <f t="array" aca="1" ref="B7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35),"")</f>
        <v/>
      </c>
      <c r="C71" s="86" t="str" cm="1">
        <f t="array" aca="1" ref="C71" ca="1">IF(B71="","",IF(INDIRECT("'"&amp;$Q$3&amp;"'!"&amp;$Q$6&amp;(B71+1))=1,"ON","OFF"))</f>
        <v/>
      </c>
      <c r="D71" s="87" t="str" cm="1">
        <f t="array" aca="1" ref="D71" ca="1">IF(B71="","",IFERROR((INDIRECT("'"&amp;$Q$3&amp;"'!A"&amp;(B71+1))-INDIRECT("'"&amp;$Q$3&amp;"'!A2"))*86400,""))</f>
        <v/>
      </c>
      <c r="E71" s="88" t="str">
        <f t="shared" ca="1" si="3"/>
        <v/>
      </c>
      <c r="G71" s="60">
        <v>35</v>
      </c>
      <c r="H71" s="86" t="str" cm="1">
        <f t="array" aca="1" ref="H7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35),"")</f>
        <v/>
      </c>
      <c r="I71" s="86" t="str" cm="1">
        <f t="array" aca="1" ref="I71" ca="1">IF(H71="","",IF(INDIRECT("'"&amp;$Q$3&amp;"'!"&amp;$Q$7&amp;(H71+1))=1,"ON","OFF"))</f>
        <v/>
      </c>
      <c r="J71" s="87" t="str" cm="1">
        <f t="array" aca="1" ref="J71" ca="1">IF(H71="","",IFERROR((INDIRECT("'"&amp;$Q$3&amp;"'!A"&amp;(H71+1))-INDIRECT("'"&amp;$Q$3&amp;"'!A2"))*86400,""))</f>
        <v/>
      </c>
      <c r="K71" s="88" t="str">
        <f t="shared" ca="1" si="4"/>
        <v/>
      </c>
    </row>
    <row r="72" spans="1:11" x14ac:dyDescent="0.25">
      <c r="A72" s="60">
        <v>36</v>
      </c>
      <c r="B72" s="86" t="str" cm="1">
        <f t="array" aca="1" ref="B7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36),"")</f>
        <v/>
      </c>
      <c r="C72" s="86" t="str" cm="1">
        <f t="array" aca="1" ref="C72" ca="1">IF(B72="","",IF(INDIRECT("'"&amp;$Q$3&amp;"'!"&amp;$Q$6&amp;(B72+1))=1,"ON","OFF"))</f>
        <v/>
      </c>
      <c r="D72" s="87" t="str" cm="1">
        <f t="array" aca="1" ref="D72" ca="1">IF(B72="","",IFERROR((INDIRECT("'"&amp;$Q$3&amp;"'!A"&amp;(B72+1))-INDIRECT("'"&amp;$Q$3&amp;"'!A2"))*86400,""))</f>
        <v/>
      </c>
      <c r="E72" s="88" t="str">
        <f t="shared" ca="1" si="3"/>
        <v/>
      </c>
      <c r="G72" s="60">
        <v>36</v>
      </c>
      <c r="H72" s="86" t="str" cm="1">
        <f t="array" aca="1" ref="H7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36),"")</f>
        <v/>
      </c>
      <c r="I72" s="86" t="str" cm="1">
        <f t="array" aca="1" ref="I72" ca="1">IF(H72="","",IF(INDIRECT("'"&amp;$Q$3&amp;"'!"&amp;$Q$7&amp;(H72+1))=1,"ON","OFF"))</f>
        <v/>
      </c>
      <c r="J72" s="87" t="str" cm="1">
        <f t="array" aca="1" ref="J72" ca="1">IF(H72="","",IFERROR((INDIRECT("'"&amp;$Q$3&amp;"'!A"&amp;(H72+1))-INDIRECT("'"&amp;$Q$3&amp;"'!A2"))*86400,""))</f>
        <v/>
      </c>
      <c r="K72" s="88" t="str">
        <f t="shared" ca="1" si="4"/>
        <v/>
      </c>
    </row>
    <row r="73" spans="1:11" x14ac:dyDescent="0.25">
      <c r="A73" s="60">
        <v>37</v>
      </c>
      <c r="B73" s="86" t="str" cm="1">
        <f t="array" aca="1" ref="B7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37),"")</f>
        <v/>
      </c>
      <c r="C73" s="86" t="str" cm="1">
        <f t="array" aca="1" ref="C73" ca="1">IF(B73="","",IF(INDIRECT("'"&amp;$Q$3&amp;"'!"&amp;$Q$6&amp;(B73+1))=1,"ON","OFF"))</f>
        <v/>
      </c>
      <c r="D73" s="87" t="str" cm="1">
        <f t="array" aca="1" ref="D73" ca="1">IF(B73="","",IFERROR((INDIRECT("'"&amp;$Q$3&amp;"'!A"&amp;(B73+1))-INDIRECT("'"&amp;$Q$3&amp;"'!A2"))*86400,""))</f>
        <v/>
      </c>
      <c r="E73" s="88" t="str">
        <f t="shared" ca="1" si="3"/>
        <v/>
      </c>
      <c r="G73" s="60">
        <v>37</v>
      </c>
      <c r="H73" s="86" t="str" cm="1">
        <f t="array" aca="1" ref="H7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37),"")</f>
        <v/>
      </c>
      <c r="I73" s="86" t="str" cm="1">
        <f t="array" aca="1" ref="I73" ca="1">IF(H73="","",IF(INDIRECT("'"&amp;$Q$3&amp;"'!"&amp;$Q$7&amp;(H73+1))=1,"ON","OFF"))</f>
        <v/>
      </c>
      <c r="J73" s="87" t="str" cm="1">
        <f t="array" aca="1" ref="J73" ca="1">IF(H73="","",IFERROR((INDIRECT("'"&amp;$Q$3&amp;"'!A"&amp;(H73+1))-INDIRECT("'"&amp;$Q$3&amp;"'!A2"))*86400,""))</f>
        <v/>
      </c>
      <c r="K73" s="88" t="str">
        <f t="shared" ca="1" si="4"/>
        <v/>
      </c>
    </row>
    <row r="74" spans="1:11" x14ac:dyDescent="0.25">
      <c r="A74" s="60">
        <v>38</v>
      </c>
      <c r="B74" s="86" t="str" cm="1">
        <f t="array" aca="1" ref="B7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38),"")</f>
        <v/>
      </c>
      <c r="C74" s="86" t="str" cm="1">
        <f t="array" aca="1" ref="C74" ca="1">IF(B74="","",IF(INDIRECT("'"&amp;$Q$3&amp;"'!"&amp;$Q$6&amp;(B74+1))=1,"ON","OFF"))</f>
        <v/>
      </c>
      <c r="D74" s="87" t="str" cm="1">
        <f t="array" aca="1" ref="D74" ca="1">IF(B74="","",IFERROR((INDIRECT("'"&amp;$Q$3&amp;"'!A"&amp;(B74+1))-INDIRECT("'"&amp;$Q$3&amp;"'!A2"))*86400,""))</f>
        <v/>
      </c>
      <c r="E74" s="88" t="str">
        <f t="shared" ca="1" si="3"/>
        <v/>
      </c>
      <c r="G74" s="60">
        <v>38</v>
      </c>
      <c r="H74" s="86" t="str" cm="1">
        <f t="array" aca="1" ref="H7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38),"")</f>
        <v/>
      </c>
      <c r="I74" s="86" t="str" cm="1">
        <f t="array" aca="1" ref="I74" ca="1">IF(H74="","",IF(INDIRECT("'"&amp;$Q$3&amp;"'!"&amp;$Q$7&amp;(H74+1))=1,"ON","OFF"))</f>
        <v/>
      </c>
      <c r="J74" s="87" t="str" cm="1">
        <f t="array" aca="1" ref="J74" ca="1">IF(H74="","",IFERROR((INDIRECT("'"&amp;$Q$3&amp;"'!A"&amp;(H74+1))-INDIRECT("'"&amp;$Q$3&amp;"'!A2"))*86400,""))</f>
        <v/>
      </c>
      <c r="K74" s="88" t="str">
        <f t="shared" ca="1" si="4"/>
        <v/>
      </c>
    </row>
    <row r="75" spans="1:11" x14ac:dyDescent="0.25">
      <c r="A75" s="60">
        <v>39</v>
      </c>
      <c r="B75" s="86" t="str" cm="1">
        <f t="array" aca="1" ref="B7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39),"")</f>
        <v/>
      </c>
      <c r="C75" s="86" t="str" cm="1">
        <f t="array" aca="1" ref="C75" ca="1">IF(B75="","",IF(INDIRECT("'"&amp;$Q$3&amp;"'!"&amp;$Q$6&amp;(B75+1))=1,"ON","OFF"))</f>
        <v/>
      </c>
      <c r="D75" s="87" t="str" cm="1">
        <f t="array" aca="1" ref="D75" ca="1">IF(B75="","",IFERROR((INDIRECT("'"&amp;$Q$3&amp;"'!A"&amp;(B75+1))-INDIRECT("'"&amp;$Q$3&amp;"'!A2"))*86400,""))</f>
        <v/>
      </c>
      <c r="E75" s="88" t="str">
        <f t="shared" ca="1" si="3"/>
        <v/>
      </c>
      <c r="G75" s="60">
        <v>39</v>
      </c>
      <c r="H75" s="86" t="str" cm="1">
        <f t="array" aca="1" ref="H7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39),"")</f>
        <v/>
      </c>
      <c r="I75" s="86" t="str" cm="1">
        <f t="array" aca="1" ref="I75" ca="1">IF(H75="","",IF(INDIRECT("'"&amp;$Q$3&amp;"'!"&amp;$Q$7&amp;(H75+1))=1,"ON","OFF"))</f>
        <v/>
      </c>
      <c r="J75" s="87" t="str" cm="1">
        <f t="array" aca="1" ref="J75" ca="1">IF(H75="","",IFERROR((INDIRECT("'"&amp;$Q$3&amp;"'!A"&amp;(H75+1))-INDIRECT("'"&amp;$Q$3&amp;"'!A2"))*86400,""))</f>
        <v/>
      </c>
      <c r="K75" s="88" t="str">
        <f t="shared" ca="1" si="4"/>
        <v/>
      </c>
    </row>
    <row r="76" spans="1:11" x14ac:dyDescent="0.25">
      <c r="A76" s="60">
        <v>40</v>
      </c>
      <c r="B76" s="86" t="str" cm="1">
        <f t="array" aca="1" ref="B7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40),"")</f>
        <v/>
      </c>
      <c r="C76" s="86" t="str" cm="1">
        <f t="array" aca="1" ref="C76" ca="1">IF(B76="","",IF(INDIRECT("'"&amp;$Q$3&amp;"'!"&amp;$Q$6&amp;(B76+1))=1,"ON","OFF"))</f>
        <v/>
      </c>
      <c r="D76" s="87" t="str" cm="1">
        <f t="array" aca="1" ref="D76" ca="1">IF(B76="","",IFERROR((INDIRECT("'"&amp;$Q$3&amp;"'!A"&amp;(B76+1))-INDIRECT("'"&amp;$Q$3&amp;"'!A2"))*86400,""))</f>
        <v/>
      </c>
      <c r="E76" s="88" t="str">
        <f t="shared" ca="1" si="3"/>
        <v/>
      </c>
      <c r="G76" s="60">
        <v>40</v>
      </c>
      <c r="H76" s="86" t="str" cm="1">
        <f t="array" aca="1" ref="H7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40),"")</f>
        <v/>
      </c>
      <c r="I76" s="86" t="str" cm="1">
        <f t="array" aca="1" ref="I76" ca="1">IF(H76="","",IF(INDIRECT("'"&amp;$Q$3&amp;"'!"&amp;$Q$7&amp;(H76+1))=1,"ON","OFF"))</f>
        <v/>
      </c>
      <c r="J76" s="87" t="str" cm="1">
        <f t="array" aca="1" ref="J76" ca="1">IF(H76="","",IFERROR((INDIRECT("'"&amp;$Q$3&amp;"'!A"&amp;(H76+1))-INDIRECT("'"&amp;$Q$3&amp;"'!A2"))*86400,""))</f>
        <v/>
      </c>
      <c r="K76" s="88" t="str">
        <f t="shared" ca="1" si="4"/>
        <v/>
      </c>
    </row>
    <row r="77" spans="1:11" x14ac:dyDescent="0.25">
      <c r="A77" s="60">
        <v>41</v>
      </c>
      <c r="B77" s="86" t="str" cm="1">
        <f t="array" aca="1" ref="B7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41),"")</f>
        <v/>
      </c>
      <c r="C77" s="86" t="str" cm="1">
        <f t="array" aca="1" ref="C77" ca="1">IF(B77="","",IF(INDIRECT("'"&amp;$Q$3&amp;"'!"&amp;$Q$6&amp;(B77+1))=1,"ON","OFF"))</f>
        <v/>
      </c>
      <c r="D77" s="87" t="str" cm="1">
        <f t="array" aca="1" ref="D77" ca="1">IF(B77="","",IFERROR((INDIRECT("'"&amp;$Q$3&amp;"'!A"&amp;(B77+1))-INDIRECT("'"&amp;$Q$3&amp;"'!A2"))*86400,""))</f>
        <v/>
      </c>
      <c r="E77" s="88" t="str">
        <f t="shared" ca="1" si="3"/>
        <v/>
      </c>
      <c r="G77" s="60">
        <v>41</v>
      </c>
      <c r="H77" s="86" t="str" cm="1">
        <f t="array" aca="1" ref="H7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41),"")</f>
        <v/>
      </c>
      <c r="I77" s="86" t="str" cm="1">
        <f t="array" aca="1" ref="I77" ca="1">IF(H77="","",IF(INDIRECT("'"&amp;$Q$3&amp;"'!"&amp;$Q$7&amp;(H77+1))=1,"ON","OFF"))</f>
        <v/>
      </c>
      <c r="J77" s="87" t="str" cm="1">
        <f t="array" aca="1" ref="J77" ca="1">IF(H77="","",IFERROR((INDIRECT("'"&amp;$Q$3&amp;"'!A"&amp;(H77+1))-INDIRECT("'"&amp;$Q$3&amp;"'!A2"))*86400,""))</f>
        <v/>
      </c>
      <c r="K77" s="88" t="str">
        <f t="shared" ca="1" si="4"/>
        <v/>
      </c>
    </row>
    <row r="78" spans="1:11" x14ac:dyDescent="0.25">
      <c r="A78" s="60">
        <v>42</v>
      </c>
      <c r="B78" s="86" t="str" cm="1">
        <f t="array" aca="1" ref="B7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42),"")</f>
        <v/>
      </c>
      <c r="C78" s="86" t="str" cm="1">
        <f t="array" aca="1" ref="C78" ca="1">IF(B78="","",IF(INDIRECT("'"&amp;$Q$3&amp;"'!"&amp;$Q$6&amp;(B78+1))=1,"ON","OFF"))</f>
        <v/>
      </c>
      <c r="D78" s="87" t="str" cm="1">
        <f t="array" aca="1" ref="D78" ca="1">IF(B78="","",IFERROR((INDIRECT("'"&amp;$Q$3&amp;"'!A"&amp;(B78+1))-INDIRECT("'"&amp;$Q$3&amp;"'!A2"))*86400,""))</f>
        <v/>
      </c>
      <c r="E78" s="88" t="str">
        <f t="shared" ca="1" si="3"/>
        <v/>
      </c>
      <c r="G78" s="60">
        <v>42</v>
      </c>
      <c r="H78" s="86" t="str" cm="1">
        <f t="array" aca="1" ref="H7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42),"")</f>
        <v/>
      </c>
      <c r="I78" s="86" t="str" cm="1">
        <f t="array" aca="1" ref="I78" ca="1">IF(H78="","",IF(INDIRECT("'"&amp;$Q$3&amp;"'!"&amp;$Q$7&amp;(H78+1))=1,"ON","OFF"))</f>
        <v/>
      </c>
      <c r="J78" s="87" t="str" cm="1">
        <f t="array" aca="1" ref="J78" ca="1">IF(H78="","",IFERROR((INDIRECT("'"&amp;$Q$3&amp;"'!A"&amp;(H78+1))-INDIRECT("'"&amp;$Q$3&amp;"'!A2"))*86400,""))</f>
        <v/>
      </c>
      <c r="K78" s="88" t="str">
        <f t="shared" ca="1" si="4"/>
        <v/>
      </c>
    </row>
    <row r="79" spans="1:11" x14ac:dyDescent="0.25">
      <c r="A79" s="60">
        <v>43</v>
      </c>
      <c r="B79" s="86" t="str" cm="1">
        <f t="array" aca="1" ref="B7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43),"")</f>
        <v/>
      </c>
      <c r="C79" s="86" t="str" cm="1">
        <f t="array" aca="1" ref="C79" ca="1">IF(B79="","",IF(INDIRECT("'"&amp;$Q$3&amp;"'!"&amp;$Q$6&amp;(B79+1))=1,"ON","OFF"))</f>
        <v/>
      </c>
      <c r="D79" s="87" t="str" cm="1">
        <f t="array" aca="1" ref="D79" ca="1">IF(B79="","",IFERROR((INDIRECT("'"&amp;$Q$3&amp;"'!A"&amp;(B79+1))-INDIRECT("'"&amp;$Q$3&amp;"'!A2"))*86400,""))</f>
        <v/>
      </c>
      <c r="E79" s="88" t="str">
        <f t="shared" ca="1" si="3"/>
        <v/>
      </c>
      <c r="G79" s="60">
        <v>43</v>
      </c>
      <c r="H79" s="86" t="str" cm="1">
        <f t="array" aca="1" ref="H7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43),"")</f>
        <v/>
      </c>
      <c r="I79" s="86" t="str" cm="1">
        <f t="array" aca="1" ref="I79" ca="1">IF(H79="","",IF(INDIRECT("'"&amp;$Q$3&amp;"'!"&amp;$Q$7&amp;(H79+1))=1,"ON","OFF"))</f>
        <v/>
      </c>
      <c r="J79" s="87" t="str" cm="1">
        <f t="array" aca="1" ref="J79" ca="1">IF(H79="","",IFERROR((INDIRECT("'"&amp;$Q$3&amp;"'!A"&amp;(H79+1))-INDIRECT("'"&amp;$Q$3&amp;"'!A2"))*86400,""))</f>
        <v/>
      </c>
      <c r="K79" s="88" t="str">
        <f t="shared" ca="1" si="4"/>
        <v/>
      </c>
    </row>
    <row r="80" spans="1:11" x14ac:dyDescent="0.25">
      <c r="A80" s="60">
        <v>44</v>
      </c>
      <c r="B80" s="86" t="str" cm="1">
        <f t="array" aca="1" ref="B8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44),"")</f>
        <v/>
      </c>
      <c r="C80" s="86" t="str" cm="1">
        <f t="array" aca="1" ref="C80" ca="1">IF(B80="","",IF(INDIRECT("'"&amp;$Q$3&amp;"'!"&amp;$Q$6&amp;(B80+1))=1,"ON","OFF"))</f>
        <v/>
      </c>
      <c r="D80" s="87" t="str" cm="1">
        <f t="array" aca="1" ref="D80" ca="1">IF(B80="","",IFERROR((INDIRECT("'"&amp;$Q$3&amp;"'!A"&amp;(B80+1))-INDIRECT("'"&amp;$Q$3&amp;"'!A2"))*86400,""))</f>
        <v/>
      </c>
      <c r="E80" s="88" t="str">
        <f t="shared" ca="1" si="3"/>
        <v/>
      </c>
      <c r="G80" s="60">
        <v>44</v>
      </c>
      <c r="H80" s="86" t="str" cm="1">
        <f t="array" aca="1" ref="H8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44),"")</f>
        <v/>
      </c>
      <c r="I80" s="86" t="str" cm="1">
        <f t="array" aca="1" ref="I80" ca="1">IF(H80="","",IF(INDIRECT("'"&amp;$Q$3&amp;"'!"&amp;$Q$7&amp;(H80+1))=1,"ON","OFF"))</f>
        <v/>
      </c>
      <c r="J80" s="87" t="str" cm="1">
        <f t="array" aca="1" ref="J80" ca="1">IF(H80="","",IFERROR((INDIRECT("'"&amp;$Q$3&amp;"'!A"&amp;(H80+1))-INDIRECT("'"&amp;$Q$3&amp;"'!A2"))*86400,""))</f>
        <v/>
      </c>
      <c r="K80" s="88" t="str">
        <f t="shared" ca="1" si="4"/>
        <v/>
      </c>
    </row>
    <row r="81" spans="1:11" x14ac:dyDescent="0.25">
      <c r="A81" s="60">
        <v>45</v>
      </c>
      <c r="B81" s="86" t="str" cm="1">
        <f t="array" aca="1" ref="B8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45),"")</f>
        <v/>
      </c>
      <c r="C81" s="86" t="str" cm="1">
        <f t="array" aca="1" ref="C81" ca="1">IF(B81="","",IF(INDIRECT("'"&amp;$Q$3&amp;"'!"&amp;$Q$6&amp;(B81+1))=1,"ON","OFF"))</f>
        <v/>
      </c>
      <c r="D81" s="87" t="str" cm="1">
        <f t="array" aca="1" ref="D81" ca="1">IF(B81="","",IFERROR((INDIRECT("'"&amp;$Q$3&amp;"'!A"&amp;(B81+1))-INDIRECT("'"&amp;$Q$3&amp;"'!A2"))*86400,""))</f>
        <v/>
      </c>
      <c r="E81" s="88" t="str">
        <f t="shared" ca="1" si="3"/>
        <v/>
      </c>
      <c r="G81" s="60">
        <v>45</v>
      </c>
      <c r="H81" s="86" t="str" cm="1">
        <f t="array" aca="1" ref="H8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45),"")</f>
        <v/>
      </c>
      <c r="I81" s="86" t="str" cm="1">
        <f t="array" aca="1" ref="I81" ca="1">IF(H81="","",IF(INDIRECT("'"&amp;$Q$3&amp;"'!"&amp;$Q$7&amp;(H81+1))=1,"ON","OFF"))</f>
        <v/>
      </c>
      <c r="J81" s="87" t="str" cm="1">
        <f t="array" aca="1" ref="J81" ca="1">IF(H81="","",IFERROR((INDIRECT("'"&amp;$Q$3&amp;"'!A"&amp;(H81+1))-INDIRECT("'"&amp;$Q$3&amp;"'!A2"))*86400,""))</f>
        <v/>
      </c>
      <c r="K81" s="88" t="str">
        <f t="shared" ca="1" si="4"/>
        <v/>
      </c>
    </row>
    <row r="82" spans="1:11" x14ac:dyDescent="0.25">
      <c r="A82" s="60">
        <v>46</v>
      </c>
      <c r="B82" s="86" t="str" cm="1">
        <f t="array" aca="1" ref="B8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46),"")</f>
        <v/>
      </c>
      <c r="C82" s="86" t="str" cm="1">
        <f t="array" aca="1" ref="C82" ca="1">IF(B82="","",IF(INDIRECT("'"&amp;$Q$3&amp;"'!"&amp;$Q$6&amp;(B82+1))=1,"ON","OFF"))</f>
        <v/>
      </c>
      <c r="D82" s="87" t="str" cm="1">
        <f t="array" aca="1" ref="D82" ca="1">IF(B82="","",IFERROR((INDIRECT("'"&amp;$Q$3&amp;"'!A"&amp;(B82+1))-INDIRECT("'"&amp;$Q$3&amp;"'!A2"))*86400,""))</f>
        <v/>
      </c>
      <c r="E82" s="88" t="str">
        <f t="shared" ca="1" si="3"/>
        <v/>
      </c>
      <c r="G82" s="60">
        <v>46</v>
      </c>
      <c r="H82" s="86" t="str" cm="1">
        <f t="array" aca="1" ref="H8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46),"")</f>
        <v/>
      </c>
      <c r="I82" s="86" t="str" cm="1">
        <f t="array" aca="1" ref="I82" ca="1">IF(H82="","",IF(INDIRECT("'"&amp;$Q$3&amp;"'!"&amp;$Q$7&amp;(H82+1))=1,"ON","OFF"))</f>
        <v/>
      </c>
      <c r="J82" s="87" t="str" cm="1">
        <f t="array" aca="1" ref="J82" ca="1">IF(H82="","",IFERROR((INDIRECT("'"&amp;$Q$3&amp;"'!A"&amp;(H82+1))-INDIRECT("'"&amp;$Q$3&amp;"'!A2"))*86400,""))</f>
        <v/>
      </c>
      <c r="K82" s="88" t="str">
        <f t="shared" ca="1" si="4"/>
        <v/>
      </c>
    </row>
    <row r="83" spans="1:11" x14ac:dyDescent="0.25">
      <c r="A83" s="60">
        <v>47</v>
      </c>
      <c r="B83" s="86" t="str" cm="1">
        <f t="array" aca="1" ref="B8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47),"")</f>
        <v/>
      </c>
      <c r="C83" s="86" t="str" cm="1">
        <f t="array" aca="1" ref="C83" ca="1">IF(B83="","",IF(INDIRECT("'"&amp;$Q$3&amp;"'!"&amp;$Q$6&amp;(B83+1))=1,"ON","OFF"))</f>
        <v/>
      </c>
      <c r="D83" s="87" t="str" cm="1">
        <f t="array" aca="1" ref="D83" ca="1">IF(B83="","",IFERROR((INDIRECT("'"&amp;$Q$3&amp;"'!A"&amp;(B83+1))-INDIRECT("'"&amp;$Q$3&amp;"'!A2"))*86400,""))</f>
        <v/>
      </c>
      <c r="E83" s="88" t="str">
        <f t="shared" ca="1" si="3"/>
        <v/>
      </c>
      <c r="G83" s="60">
        <v>47</v>
      </c>
      <c r="H83" s="86" t="str" cm="1">
        <f t="array" aca="1" ref="H8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47),"")</f>
        <v/>
      </c>
      <c r="I83" s="86" t="str" cm="1">
        <f t="array" aca="1" ref="I83" ca="1">IF(H83="","",IF(INDIRECT("'"&amp;$Q$3&amp;"'!"&amp;$Q$7&amp;(H83+1))=1,"ON","OFF"))</f>
        <v/>
      </c>
      <c r="J83" s="87" t="str" cm="1">
        <f t="array" aca="1" ref="J83" ca="1">IF(H83="","",IFERROR((INDIRECT("'"&amp;$Q$3&amp;"'!A"&amp;(H83+1))-INDIRECT("'"&amp;$Q$3&amp;"'!A2"))*86400,""))</f>
        <v/>
      </c>
      <c r="K83" s="88" t="str">
        <f t="shared" ca="1" si="4"/>
        <v/>
      </c>
    </row>
    <row r="84" spans="1:11" x14ac:dyDescent="0.25">
      <c r="A84" s="60">
        <v>48</v>
      </c>
      <c r="B84" s="86" t="str" cm="1">
        <f t="array" aca="1" ref="B8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48),"")</f>
        <v/>
      </c>
      <c r="C84" s="86" t="str" cm="1">
        <f t="array" aca="1" ref="C84" ca="1">IF(B84="","",IF(INDIRECT("'"&amp;$Q$3&amp;"'!"&amp;$Q$6&amp;(B84+1))=1,"ON","OFF"))</f>
        <v/>
      </c>
      <c r="D84" s="87" t="str" cm="1">
        <f t="array" aca="1" ref="D84" ca="1">IF(B84="","",IFERROR((INDIRECT("'"&amp;$Q$3&amp;"'!A"&amp;(B84+1))-INDIRECT("'"&amp;$Q$3&amp;"'!A2"))*86400,""))</f>
        <v/>
      </c>
      <c r="E84" s="88" t="str">
        <f t="shared" ca="1" si="3"/>
        <v/>
      </c>
      <c r="G84" s="60">
        <v>48</v>
      </c>
      <c r="H84" s="86" t="str" cm="1">
        <f t="array" aca="1" ref="H8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48),"")</f>
        <v/>
      </c>
      <c r="I84" s="86" t="str" cm="1">
        <f t="array" aca="1" ref="I84" ca="1">IF(H84="","",IF(INDIRECT("'"&amp;$Q$3&amp;"'!"&amp;$Q$7&amp;(H84+1))=1,"ON","OFF"))</f>
        <v/>
      </c>
      <c r="J84" s="87" t="str" cm="1">
        <f t="array" aca="1" ref="J84" ca="1">IF(H84="","",IFERROR((INDIRECT("'"&amp;$Q$3&amp;"'!A"&amp;(H84+1))-INDIRECT("'"&amp;$Q$3&amp;"'!A2"))*86400,""))</f>
        <v/>
      </c>
      <c r="K84" s="88" t="str">
        <f t="shared" ca="1" si="4"/>
        <v/>
      </c>
    </row>
    <row r="85" spans="1:11" x14ac:dyDescent="0.25">
      <c r="A85" s="60">
        <v>49</v>
      </c>
      <c r="B85" s="86" t="str" cm="1">
        <f t="array" aca="1" ref="B8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49),"")</f>
        <v/>
      </c>
      <c r="C85" s="86" t="str" cm="1">
        <f t="array" aca="1" ref="C85" ca="1">IF(B85="","",IF(INDIRECT("'"&amp;$Q$3&amp;"'!"&amp;$Q$6&amp;(B85+1))=1,"ON","OFF"))</f>
        <v/>
      </c>
      <c r="D85" s="87" t="str" cm="1">
        <f t="array" aca="1" ref="D85" ca="1">IF(B85="","",IFERROR((INDIRECT("'"&amp;$Q$3&amp;"'!A"&amp;(B85+1))-INDIRECT("'"&amp;$Q$3&amp;"'!A2"))*86400,""))</f>
        <v/>
      </c>
      <c r="E85" s="88" t="str">
        <f t="shared" ca="1" si="3"/>
        <v/>
      </c>
      <c r="G85" s="60">
        <v>49</v>
      </c>
      <c r="H85" s="86" t="str" cm="1">
        <f t="array" aca="1" ref="H8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49),"")</f>
        <v/>
      </c>
      <c r="I85" s="86" t="str" cm="1">
        <f t="array" aca="1" ref="I85" ca="1">IF(H85="","",IF(INDIRECT("'"&amp;$Q$3&amp;"'!"&amp;$Q$7&amp;(H85+1))=1,"ON","OFF"))</f>
        <v/>
      </c>
      <c r="J85" s="87" t="str" cm="1">
        <f t="array" aca="1" ref="J85" ca="1">IF(H85="","",IFERROR((INDIRECT("'"&amp;$Q$3&amp;"'!A"&amp;(H85+1))-INDIRECT("'"&amp;$Q$3&amp;"'!A2"))*86400,""))</f>
        <v/>
      </c>
      <c r="K85" s="88" t="str">
        <f t="shared" ca="1" si="4"/>
        <v/>
      </c>
    </row>
    <row r="86" spans="1:11" x14ac:dyDescent="0.25">
      <c r="A86" s="60">
        <v>50</v>
      </c>
      <c r="B86" s="86" t="str" cm="1">
        <f t="array" aca="1" ref="B8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50),"")</f>
        <v/>
      </c>
      <c r="C86" s="86" t="str" cm="1">
        <f t="array" aca="1" ref="C86" ca="1">IF(B86="","",IF(INDIRECT("'"&amp;$Q$3&amp;"'!"&amp;$Q$6&amp;(B86+1))=1,"ON","OFF"))</f>
        <v/>
      </c>
      <c r="D86" s="87" t="str" cm="1">
        <f t="array" aca="1" ref="D86" ca="1">IF(B86="","",IFERROR((INDIRECT("'"&amp;$Q$3&amp;"'!A"&amp;(B86+1))-INDIRECT("'"&amp;$Q$3&amp;"'!A2"))*86400,""))</f>
        <v/>
      </c>
      <c r="E86" s="88" t="str">
        <f t="shared" ca="1" si="3"/>
        <v/>
      </c>
      <c r="G86" s="60">
        <v>50</v>
      </c>
      <c r="H86" s="86" t="str" cm="1">
        <f t="array" aca="1" ref="H8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50),"")</f>
        <v/>
      </c>
      <c r="I86" s="86" t="str" cm="1">
        <f t="array" aca="1" ref="I86" ca="1">IF(H86="","",IF(INDIRECT("'"&amp;$Q$3&amp;"'!"&amp;$Q$7&amp;(H86+1))=1,"ON","OFF"))</f>
        <v/>
      </c>
      <c r="J86" s="87" t="str" cm="1">
        <f t="array" aca="1" ref="J86" ca="1">IF(H86="","",IFERROR((INDIRECT("'"&amp;$Q$3&amp;"'!A"&amp;(H86+1))-INDIRECT("'"&amp;$Q$3&amp;"'!A2"))*86400,""))</f>
        <v/>
      </c>
      <c r="K86" s="88" t="str">
        <f t="shared" ca="1" si="4"/>
        <v/>
      </c>
    </row>
    <row r="87" spans="1:11" x14ac:dyDescent="0.25">
      <c r="A87" s="60">
        <v>51</v>
      </c>
      <c r="B87" s="86" t="str" cm="1">
        <f t="array" aca="1" ref="B8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51),"")</f>
        <v/>
      </c>
      <c r="C87" s="86" t="str" cm="1">
        <f t="array" aca="1" ref="C87" ca="1">IF(B87="","",IF(INDIRECT("'"&amp;$Q$3&amp;"'!"&amp;$Q$6&amp;(B87+1))=1,"ON","OFF"))</f>
        <v/>
      </c>
      <c r="D87" s="87" t="str" cm="1">
        <f t="array" aca="1" ref="D87" ca="1">IF(B87="","",IFERROR((INDIRECT("'"&amp;$Q$3&amp;"'!A"&amp;(B87+1))-INDIRECT("'"&amp;$Q$3&amp;"'!A2"))*86400,""))</f>
        <v/>
      </c>
      <c r="E87" s="88" t="str">
        <f t="shared" ca="1" si="3"/>
        <v/>
      </c>
      <c r="G87" s="60">
        <v>51</v>
      </c>
      <c r="H87" s="86" t="str" cm="1">
        <f t="array" aca="1" ref="H8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51),"")</f>
        <v/>
      </c>
      <c r="I87" s="86" t="str" cm="1">
        <f t="array" aca="1" ref="I87" ca="1">IF(H87="","",IF(INDIRECT("'"&amp;$Q$3&amp;"'!"&amp;$Q$7&amp;(H87+1))=1,"ON","OFF"))</f>
        <v/>
      </c>
      <c r="J87" s="87" t="str" cm="1">
        <f t="array" aca="1" ref="J87" ca="1">IF(H87="","",IFERROR((INDIRECT("'"&amp;$Q$3&amp;"'!A"&amp;(H87+1))-INDIRECT("'"&amp;$Q$3&amp;"'!A2"))*86400,""))</f>
        <v/>
      </c>
      <c r="K87" s="88" t="str">
        <f t="shared" ca="1" si="4"/>
        <v/>
      </c>
    </row>
    <row r="88" spans="1:11" x14ac:dyDescent="0.25">
      <c r="A88" s="60">
        <v>52</v>
      </c>
      <c r="B88" s="86" t="str" cm="1">
        <f t="array" aca="1" ref="B8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52),"")</f>
        <v/>
      </c>
      <c r="C88" s="86" t="str" cm="1">
        <f t="array" aca="1" ref="C88" ca="1">IF(B88="","",IF(INDIRECT("'"&amp;$Q$3&amp;"'!"&amp;$Q$6&amp;(B88+1))=1,"ON","OFF"))</f>
        <v/>
      </c>
      <c r="D88" s="87" t="str" cm="1">
        <f t="array" aca="1" ref="D88" ca="1">IF(B88="","",IFERROR((INDIRECT("'"&amp;$Q$3&amp;"'!A"&amp;(B88+1))-INDIRECT("'"&amp;$Q$3&amp;"'!A2"))*86400,""))</f>
        <v/>
      </c>
      <c r="E88" s="88" t="str">
        <f t="shared" ca="1" si="3"/>
        <v/>
      </c>
      <c r="G88" s="60">
        <v>52</v>
      </c>
      <c r="H88" s="86" t="str" cm="1">
        <f t="array" aca="1" ref="H8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52),"")</f>
        <v/>
      </c>
      <c r="I88" s="86" t="str" cm="1">
        <f t="array" aca="1" ref="I88" ca="1">IF(H88="","",IF(INDIRECT("'"&amp;$Q$3&amp;"'!"&amp;$Q$7&amp;(H88+1))=1,"ON","OFF"))</f>
        <v/>
      </c>
      <c r="J88" s="87" t="str" cm="1">
        <f t="array" aca="1" ref="J88" ca="1">IF(H88="","",IFERROR((INDIRECT("'"&amp;$Q$3&amp;"'!A"&amp;(H88+1))-INDIRECT("'"&amp;$Q$3&amp;"'!A2"))*86400,""))</f>
        <v/>
      </c>
      <c r="K88" s="88" t="str">
        <f t="shared" ca="1" si="4"/>
        <v/>
      </c>
    </row>
    <row r="89" spans="1:11" x14ac:dyDescent="0.25">
      <c r="A89" s="60">
        <v>53</v>
      </c>
      <c r="B89" s="86" t="str" cm="1">
        <f t="array" aca="1" ref="B8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53),"")</f>
        <v/>
      </c>
      <c r="C89" s="86" t="str" cm="1">
        <f t="array" aca="1" ref="C89" ca="1">IF(B89="","",IF(INDIRECT("'"&amp;$Q$3&amp;"'!"&amp;$Q$6&amp;(B89+1))=1,"ON","OFF"))</f>
        <v/>
      </c>
      <c r="D89" s="87" t="str" cm="1">
        <f t="array" aca="1" ref="D89" ca="1">IF(B89="","",IFERROR((INDIRECT("'"&amp;$Q$3&amp;"'!A"&amp;(B89+1))-INDIRECT("'"&amp;$Q$3&amp;"'!A2"))*86400,""))</f>
        <v/>
      </c>
      <c r="E89" s="88" t="str">
        <f t="shared" ca="1" si="3"/>
        <v/>
      </c>
      <c r="G89" s="60">
        <v>53</v>
      </c>
      <c r="H89" s="86" t="str" cm="1">
        <f t="array" aca="1" ref="H8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53),"")</f>
        <v/>
      </c>
      <c r="I89" s="86" t="str" cm="1">
        <f t="array" aca="1" ref="I89" ca="1">IF(H89="","",IF(INDIRECT("'"&amp;$Q$3&amp;"'!"&amp;$Q$7&amp;(H89+1))=1,"ON","OFF"))</f>
        <v/>
      </c>
      <c r="J89" s="87" t="str" cm="1">
        <f t="array" aca="1" ref="J89" ca="1">IF(H89="","",IFERROR((INDIRECT("'"&amp;$Q$3&amp;"'!A"&amp;(H89+1))-INDIRECT("'"&amp;$Q$3&amp;"'!A2"))*86400,""))</f>
        <v/>
      </c>
      <c r="K89" s="88" t="str">
        <f t="shared" ca="1" si="4"/>
        <v/>
      </c>
    </row>
    <row r="90" spans="1:11" x14ac:dyDescent="0.25">
      <c r="A90" s="60">
        <v>54</v>
      </c>
      <c r="B90" s="86" t="str" cm="1">
        <f t="array" aca="1" ref="B9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54),"")</f>
        <v/>
      </c>
      <c r="C90" s="86" t="str" cm="1">
        <f t="array" aca="1" ref="C90" ca="1">IF(B90="","",IF(INDIRECT("'"&amp;$Q$3&amp;"'!"&amp;$Q$6&amp;(B90+1))=1,"ON","OFF"))</f>
        <v/>
      </c>
      <c r="D90" s="87" t="str" cm="1">
        <f t="array" aca="1" ref="D90" ca="1">IF(B90="","",IFERROR((INDIRECT("'"&amp;$Q$3&amp;"'!A"&amp;(B90+1))-INDIRECT("'"&amp;$Q$3&amp;"'!A2"))*86400,""))</f>
        <v/>
      </c>
      <c r="E90" s="88" t="str">
        <f t="shared" ca="1" si="3"/>
        <v/>
      </c>
      <c r="G90" s="60">
        <v>54</v>
      </c>
      <c r="H90" s="86" t="str" cm="1">
        <f t="array" aca="1" ref="H9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54),"")</f>
        <v/>
      </c>
      <c r="I90" s="86" t="str" cm="1">
        <f t="array" aca="1" ref="I90" ca="1">IF(H90="","",IF(INDIRECT("'"&amp;$Q$3&amp;"'!"&amp;$Q$7&amp;(H90+1))=1,"ON","OFF"))</f>
        <v/>
      </c>
      <c r="J90" s="87" t="str" cm="1">
        <f t="array" aca="1" ref="J90" ca="1">IF(H90="","",IFERROR((INDIRECT("'"&amp;$Q$3&amp;"'!A"&amp;(H90+1))-INDIRECT("'"&amp;$Q$3&amp;"'!A2"))*86400,""))</f>
        <v/>
      </c>
      <c r="K90" s="88" t="str">
        <f t="shared" ca="1" si="4"/>
        <v/>
      </c>
    </row>
    <row r="91" spans="1:11" x14ac:dyDescent="0.25">
      <c r="A91" s="60">
        <v>55</v>
      </c>
      <c r="B91" s="86" t="str" cm="1">
        <f t="array" aca="1" ref="B9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55),"")</f>
        <v/>
      </c>
      <c r="C91" s="86" t="str" cm="1">
        <f t="array" aca="1" ref="C91" ca="1">IF(B91="","",IF(INDIRECT("'"&amp;$Q$3&amp;"'!"&amp;$Q$6&amp;(B91+1))=1,"ON","OFF"))</f>
        <v/>
      </c>
      <c r="D91" s="87" t="str" cm="1">
        <f t="array" aca="1" ref="D91" ca="1">IF(B91="","",IFERROR((INDIRECT("'"&amp;$Q$3&amp;"'!A"&amp;(B91+1))-INDIRECT("'"&amp;$Q$3&amp;"'!A2"))*86400,""))</f>
        <v/>
      </c>
      <c r="E91" s="88" t="str">
        <f t="shared" ca="1" si="3"/>
        <v/>
      </c>
      <c r="G91" s="60">
        <v>55</v>
      </c>
      <c r="H91" s="86" t="str" cm="1">
        <f t="array" aca="1" ref="H9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55),"")</f>
        <v/>
      </c>
      <c r="I91" s="86" t="str" cm="1">
        <f t="array" aca="1" ref="I91" ca="1">IF(H91="","",IF(INDIRECT("'"&amp;$Q$3&amp;"'!"&amp;$Q$7&amp;(H91+1))=1,"ON","OFF"))</f>
        <v/>
      </c>
      <c r="J91" s="87" t="str" cm="1">
        <f t="array" aca="1" ref="J91" ca="1">IF(H91="","",IFERROR((INDIRECT("'"&amp;$Q$3&amp;"'!A"&amp;(H91+1))-INDIRECT("'"&amp;$Q$3&amp;"'!A2"))*86400,""))</f>
        <v/>
      </c>
      <c r="K91" s="88" t="str">
        <f t="shared" ca="1" si="4"/>
        <v/>
      </c>
    </row>
    <row r="92" spans="1:11" x14ac:dyDescent="0.25">
      <c r="A92" s="60">
        <v>56</v>
      </c>
      <c r="B92" s="86" t="str" cm="1">
        <f t="array" aca="1" ref="B9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56),"")</f>
        <v/>
      </c>
      <c r="C92" s="86" t="str" cm="1">
        <f t="array" aca="1" ref="C92" ca="1">IF(B92="","",IF(INDIRECT("'"&amp;$Q$3&amp;"'!"&amp;$Q$6&amp;(B92+1))=1,"ON","OFF"))</f>
        <v/>
      </c>
      <c r="D92" s="87" t="str" cm="1">
        <f t="array" aca="1" ref="D92" ca="1">IF(B92="","",IFERROR((INDIRECT("'"&amp;$Q$3&amp;"'!A"&amp;(B92+1))-INDIRECT("'"&amp;$Q$3&amp;"'!A2"))*86400,""))</f>
        <v/>
      </c>
      <c r="E92" s="88" t="str">
        <f t="shared" ca="1" si="3"/>
        <v/>
      </c>
      <c r="G92" s="60">
        <v>56</v>
      </c>
      <c r="H92" s="86" t="str" cm="1">
        <f t="array" aca="1" ref="H9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56),"")</f>
        <v/>
      </c>
      <c r="I92" s="86" t="str" cm="1">
        <f t="array" aca="1" ref="I92" ca="1">IF(H92="","",IF(INDIRECT("'"&amp;$Q$3&amp;"'!"&amp;$Q$7&amp;(H92+1))=1,"ON","OFF"))</f>
        <v/>
      </c>
      <c r="J92" s="87" t="str" cm="1">
        <f t="array" aca="1" ref="J92" ca="1">IF(H92="","",IFERROR((INDIRECT("'"&amp;$Q$3&amp;"'!A"&amp;(H92+1))-INDIRECT("'"&amp;$Q$3&amp;"'!A2"))*86400,""))</f>
        <v/>
      </c>
      <c r="K92" s="88" t="str">
        <f t="shared" ca="1" si="4"/>
        <v/>
      </c>
    </row>
    <row r="93" spans="1:11" x14ac:dyDescent="0.25">
      <c r="A93" s="60">
        <v>57</v>
      </c>
      <c r="B93" s="86" t="str" cm="1">
        <f t="array" aca="1" ref="B9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57),"")</f>
        <v/>
      </c>
      <c r="C93" s="86" t="str" cm="1">
        <f t="array" aca="1" ref="C93" ca="1">IF(B93="","",IF(INDIRECT("'"&amp;$Q$3&amp;"'!"&amp;$Q$6&amp;(B93+1))=1,"ON","OFF"))</f>
        <v/>
      </c>
      <c r="D93" s="87" t="str" cm="1">
        <f t="array" aca="1" ref="D93" ca="1">IF(B93="","",IFERROR((INDIRECT("'"&amp;$Q$3&amp;"'!A"&amp;(B93+1))-INDIRECT("'"&amp;$Q$3&amp;"'!A2"))*86400,""))</f>
        <v/>
      </c>
      <c r="E93" s="88" t="str">
        <f t="shared" ca="1" si="3"/>
        <v/>
      </c>
      <c r="G93" s="60">
        <v>57</v>
      </c>
      <c r="H93" s="86" t="str" cm="1">
        <f t="array" aca="1" ref="H9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57),"")</f>
        <v/>
      </c>
      <c r="I93" s="86" t="str" cm="1">
        <f t="array" aca="1" ref="I93" ca="1">IF(H93="","",IF(INDIRECT("'"&amp;$Q$3&amp;"'!"&amp;$Q$7&amp;(H93+1))=1,"ON","OFF"))</f>
        <v/>
      </c>
      <c r="J93" s="87" t="str" cm="1">
        <f t="array" aca="1" ref="J93" ca="1">IF(H93="","",IFERROR((INDIRECT("'"&amp;$Q$3&amp;"'!A"&amp;(H93+1))-INDIRECT("'"&amp;$Q$3&amp;"'!A2"))*86400,""))</f>
        <v/>
      </c>
      <c r="K93" s="88" t="str">
        <f t="shared" ca="1" si="4"/>
        <v/>
      </c>
    </row>
    <row r="94" spans="1:11" x14ac:dyDescent="0.25">
      <c r="A94" s="60">
        <v>58</v>
      </c>
      <c r="B94" s="86" t="str" cm="1">
        <f t="array" aca="1" ref="B9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58),"")</f>
        <v/>
      </c>
      <c r="C94" s="86" t="str" cm="1">
        <f t="array" aca="1" ref="C94" ca="1">IF(B94="","",IF(INDIRECT("'"&amp;$Q$3&amp;"'!"&amp;$Q$6&amp;(B94+1))=1,"ON","OFF"))</f>
        <v/>
      </c>
      <c r="D94" s="87" t="str" cm="1">
        <f t="array" aca="1" ref="D94" ca="1">IF(B94="","",IFERROR((INDIRECT("'"&amp;$Q$3&amp;"'!A"&amp;(B94+1))-INDIRECT("'"&amp;$Q$3&amp;"'!A2"))*86400,""))</f>
        <v/>
      </c>
      <c r="E94" s="88" t="str">
        <f t="shared" ca="1" si="3"/>
        <v/>
      </c>
      <c r="G94" s="60">
        <v>58</v>
      </c>
      <c r="H94" s="86" t="str" cm="1">
        <f t="array" aca="1" ref="H9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58),"")</f>
        <v/>
      </c>
      <c r="I94" s="86" t="str" cm="1">
        <f t="array" aca="1" ref="I94" ca="1">IF(H94="","",IF(INDIRECT("'"&amp;$Q$3&amp;"'!"&amp;$Q$7&amp;(H94+1))=1,"ON","OFF"))</f>
        <v/>
      </c>
      <c r="J94" s="87" t="str" cm="1">
        <f t="array" aca="1" ref="J94" ca="1">IF(H94="","",IFERROR((INDIRECT("'"&amp;$Q$3&amp;"'!A"&amp;(H94+1))-INDIRECT("'"&amp;$Q$3&amp;"'!A2"))*86400,""))</f>
        <v/>
      </c>
      <c r="K94" s="88" t="str">
        <f t="shared" ca="1" si="4"/>
        <v/>
      </c>
    </row>
    <row r="95" spans="1:11" x14ac:dyDescent="0.25">
      <c r="A95" s="60">
        <v>59</v>
      </c>
      <c r="B95" s="86" t="str" cm="1">
        <f t="array" aca="1" ref="B9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59),"")</f>
        <v/>
      </c>
      <c r="C95" s="86" t="str" cm="1">
        <f t="array" aca="1" ref="C95" ca="1">IF(B95="","",IF(INDIRECT("'"&amp;$Q$3&amp;"'!"&amp;$Q$6&amp;(B95+1))=1,"ON","OFF"))</f>
        <v/>
      </c>
      <c r="D95" s="87" t="str" cm="1">
        <f t="array" aca="1" ref="D95" ca="1">IF(B95="","",IFERROR((INDIRECT("'"&amp;$Q$3&amp;"'!A"&amp;(B95+1))-INDIRECT("'"&amp;$Q$3&amp;"'!A2"))*86400,""))</f>
        <v/>
      </c>
      <c r="E95" s="88" t="str">
        <f t="shared" ca="1" si="3"/>
        <v/>
      </c>
      <c r="G95" s="60">
        <v>59</v>
      </c>
      <c r="H95" s="86" t="str" cm="1">
        <f t="array" aca="1" ref="H9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59),"")</f>
        <v/>
      </c>
      <c r="I95" s="86" t="str" cm="1">
        <f t="array" aca="1" ref="I95" ca="1">IF(H95="","",IF(INDIRECT("'"&amp;$Q$3&amp;"'!"&amp;$Q$7&amp;(H95+1))=1,"ON","OFF"))</f>
        <v/>
      </c>
      <c r="J95" s="87" t="str" cm="1">
        <f t="array" aca="1" ref="J95" ca="1">IF(H95="","",IFERROR((INDIRECT("'"&amp;$Q$3&amp;"'!A"&amp;(H95+1))-INDIRECT("'"&amp;$Q$3&amp;"'!A2"))*86400,""))</f>
        <v/>
      </c>
      <c r="K95" s="88" t="str">
        <f t="shared" ca="1" si="4"/>
        <v/>
      </c>
    </row>
    <row r="96" spans="1:11" x14ac:dyDescent="0.25">
      <c r="A96" s="60">
        <v>60</v>
      </c>
      <c r="B96" s="86" t="str" cm="1">
        <f t="array" aca="1" ref="B9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60),"")</f>
        <v/>
      </c>
      <c r="C96" s="86" t="str" cm="1">
        <f t="array" aca="1" ref="C96" ca="1">IF(B96="","",IF(INDIRECT("'"&amp;$Q$3&amp;"'!"&amp;$Q$6&amp;(B96+1))=1,"ON","OFF"))</f>
        <v/>
      </c>
      <c r="D96" s="87" t="str" cm="1">
        <f t="array" aca="1" ref="D96" ca="1">IF(B96="","",IFERROR((INDIRECT("'"&amp;$Q$3&amp;"'!A"&amp;(B96+1))-INDIRECT("'"&amp;$Q$3&amp;"'!A2"))*86400,""))</f>
        <v/>
      </c>
      <c r="E96" s="88" t="str">
        <f t="shared" ca="1" si="3"/>
        <v/>
      </c>
      <c r="G96" s="60">
        <v>60</v>
      </c>
      <c r="H96" s="86" t="str" cm="1">
        <f t="array" aca="1" ref="H9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60),"")</f>
        <v/>
      </c>
      <c r="I96" s="86" t="str" cm="1">
        <f t="array" aca="1" ref="I96" ca="1">IF(H96="","",IF(INDIRECT("'"&amp;$Q$3&amp;"'!"&amp;$Q$7&amp;(H96+1))=1,"ON","OFF"))</f>
        <v/>
      </c>
      <c r="J96" s="87" t="str" cm="1">
        <f t="array" aca="1" ref="J96" ca="1">IF(H96="","",IFERROR((INDIRECT("'"&amp;$Q$3&amp;"'!A"&amp;(H96+1))-INDIRECT("'"&amp;$Q$3&amp;"'!A2"))*86400,""))</f>
        <v/>
      </c>
      <c r="K96" s="88" t="str">
        <f t="shared" ca="1" si="4"/>
        <v/>
      </c>
    </row>
    <row r="97" spans="1:11" x14ac:dyDescent="0.25">
      <c r="A97" s="60">
        <v>61</v>
      </c>
      <c r="B97" s="86" t="str" cm="1">
        <f t="array" aca="1" ref="B9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61),"")</f>
        <v/>
      </c>
      <c r="C97" s="86" t="str" cm="1">
        <f t="array" aca="1" ref="C97" ca="1">IF(B97="","",IF(INDIRECT("'"&amp;$Q$3&amp;"'!"&amp;$Q$6&amp;(B97+1))=1,"ON","OFF"))</f>
        <v/>
      </c>
      <c r="D97" s="87" t="str" cm="1">
        <f t="array" aca="1" ref="D97" ca="1">IF(B97="","",IFERROR((INDIRECT("'"&amp;$Q$3&amp;"'!A"&amp;(B97+1))-INDIRECT("'"&amp;$Q$3&amp;"'!A2"))*86400,""))</f>
        <v/>
      </c>
      <c r="E97" s="88" t="str">
        <f t="shared" ca="1" si="3"/>
        <v/>
      </c>
      <c r="G97" s="60">
        <v>61</v>
      </c>
      <c r="H97" s="86" t="str" cm="1">
        <f t="array" aca="1" ref="H9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61),"")</f>
        <v/>
      </c>
      <c r="I97" s="86" t="str" cm="1">
        <f t="array" aca="1" ref="I97" ca="1">IF(H97="","",IF(INDIRECT("'"&amp;$Q$3&amp;"'!"&amp;$Q$7&amp;(H97+1))=1,"ON","OFF"))</f>
        <v/>
      </c>
      <c r="J97" s="87" t="str" cm="1">
        <f t="array" aca="1" ref="J97" ca="1">IF(H97="","",IFERROR((INDIRECT("'"&amp;$Q$3&amp;"'!A"&amp;(H97+1))-INDIRECT("'"&amp;$Q$3&amp;"'!A2"))*86400,""))</f>
        <v/>
      </c>
      <c r="K97" s="88" t="str">
        <f t="shared" ca="1" si="4"/>
        <v/>
      </c>
    </row>
    <row r="98" spans="1:11" x14ac:dyDescent="0.25">
      <c r="A98" s="60">
        <v>62</v>
      </c>
      <c r="B98" s="86" t="str" cm="1">
        <f t="array" aca="1" ref="B9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62),"")</f>
        <v/>
      </c>
      <c r="C98" s="86" t="str" cm="1">
        <f t="array" aca="1" ref="C98" ca="1">IF(B98="","",IF(INDIRECT("'"&amp;$Q$3&amp;"'!"&amp;$Q$6&amp;(B98+1))=1,"ON","OFF"))</f>
        <v/>
      </c>
      <c r="D98" s="87" t="str" cm="1">
        <f t="array" aca="1" ref="D98" ca="1">IF(B98="","",IFERROR((INDIRECT("'"&amp;$Q$3&amp;"'!A"&amp;(B98+1))-INDIRECT("'"&amp;$Q$3&amp;"'!A2"))*86400,""))</f>
        <v/>
      </c>
      <c r="E98" s="88" t="str">
        <f t="shared" ca="1" si="3"/>
        <v/>
      </c>
      <c r="G98" s="60">
        <v>62</v>
      </c>
      <c r="H98" s="86" t="str" cm="1">
        <f t="array" aca="1" ref="H9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62),"")</f>
        <v/>
      </c>
      <c r="I98" s="86" t="str" cm="1">
        <f t="array" aca="1" ref="I98" ca="1">IF(H98="","",IF(INDIRECT("'"&amp;$Q$3&amp;"'!"&amp;$Q$7&amp;(H98+1))=1,"ON","OFF"))</f>
        <v/>
      </c>
      <c r="J98" s="87" t="str" cm="1">
        <f t="array" aca="1" ref="J98" ca="1">IF(H98="","",IFERROR((INDIRECT("'"&amp;$Q$3&amp;"'!A"&amp;(H98+1))-INDIRECT("'"&amp;$Q$3&amp;"'!A2"))*86400,""))</f>
        <v/>
      </c>
      <c r="K98" s="88" t="str">
        <f t="shared" ca="1" si="4"/>
        <v/>
      </c>
    </row>
    <row r="99" spans="1:11" x14ac:dyDescent="0.25">
      <c r="A99" s="60">
        <v>63</v>
      </c>
      <c r="B99" s="86" t="str" cm="1">
        <f t="array" aca="1" ref="B9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63),"")</f>
        <v/>
      </c>
      <c r="C99" s="86" t="str" cm="1">
        <f t="array" aca="1" ref="C99" ca="1">IF(B99="","",IF(INDIRECT("'"&amp;$Q$3&amp;"'!"&amp;$Q$6&amp;(B99+1))=1,"ON","OFF"))</f>
        <v/>
      </c>
      <c r="D99" s="87" t="str" cm="1">
        <f t="array" aca="1" ref="D99" ca="1">IF(B99="","",IFERROR((INDIRECT("'"&amp;$Q$3&amp;"'!A"&amp;(B99+1))-INDIRECT("'"&amp;$Q$3&amp;"'!A2"))*86400,""))</f>
        <v/>
      </c>
      <c r="E99" s="88" t="str">
        <f t="shared" ca="1" si="3"/>
        <v/>
      </c>
      <c r="G99" s="60">
        <v>63</v>
      </c>
      <c r="H99" s="86" t="str" cm="1">
        <f t="array" aca="1" ref="H9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63),"")</f>
        <v/>
      </c>
      <c r="I99" s="86" t="str" cm="1">
        <f t="array" aca="1" ref="I99" ca="1">IF(H99="","",IF(INDIRECT("'"&amp;$Q$3&amp;"'!"&amp;$Q$7&amp;(H99+1))=1,"ON","OFF"))</f>
        <v/>
      </c>
      <c r="J99" s="87" t="str" cm="1">
        <f t="array" aca="1" ref="J99" ca="1">IF(H99="","",IFERROR((INDIRECT("'"&amp;$Q$3&amp;"'!A"&amp;(H99+1))-INDIRECT("'"&amp;$Q$3&amp;"'!A2"))*86400,""))</f>
        <v/>
      </c>
      <c r="K99" s="88" t="str">
        <f t="shared" ca="1" si="4"/>
        <v/>
      </c>
    </row>
    <row r="100" spans="1:11" x14ac:dyDescent="0.25">
      <c r="A100" s="60">
        <v>64</v>
      </c>
      <c r="B100" s="86" t="str" cm="1">
        <f t="array" aca="1" ref="B10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64),"")</f>
        <v/>
      </c>
      <c r="C100" s="86" t="str" cm="1">
        <f t="array" aca="1" ref="C100" ca="1">IF(B100="","",IF(INDIRECT("'"&amp;$Q$3&amp;"'!"&amp;$Q$6&amp;(B100+1))=1,"ON","OFF"))</f>
        <v/>
      </c>
      <c r="D100" s="87" t="str" cm="1">
        <f t="array" aca="1" ref="D100" ca="1">IF(B100="","",IFERROR((INDIRECT("'"&amp;$Q$3&amp;"'!A"&amp;(B100+1))-INDIRECT("'"&amp;$Q$3&amp;"'!A2"))*86400,""))</f>
        <v/>
      </c>
      <c r="E100" s="88" t="str">
        <f t="shared" ca="1" si="3"/>
        <v/>
      </c>
      <c r="G100" s="60">
        <v>64</v>
      </c>
      <c r="H100" s="86" t="str" cm="1">
        <f t="array" aca="1" ref="H10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64),"")</f>
        <v/>
      </c>
      <c r="I100" s="86" t="str" cm="1">
        <f t="array" aca="1" ref="I100" ca="1">IF(H100="","",IF(INDIRECT("'"&amp;$Q$3&amp;"'!"&amp;$Q$7&amp;(H100+1))=1,"ON","OFF"))</f>
        <v/>
      </c>
      <c r="J100" s="87" t="str" cm="1">
        <f t="array" aca="1" ref="J100" ca="1">IF(H100="","",IFERROR((INDIRECT("'"&amp;$Q$3&amp;"'!A"&amp;(H100+1))-INDIRECT("'"&amp;$Q$3&amp;"'!A2"))*86400,""))</f>
        <v/>
      </c>
      <c r="K100" s="88" t="str">
        <f t="shared" ca="1" si="4"/>
        <v/>
      </c>
    </row>
    <row r="101" spans="1:11" x14ac:dyDescent="0.25">
      <c r="A101" s="60">
        <v>65</v>
      </c>
      <c r="B101" s="86" t="str" cm="1">
        <f t="array" aca="1" ref="B10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65),"")</f>
        <v/>
      </c>
      <c r="C101" s="86" t="str" cm="1">
        <f t="array" aca="1" ref="C101" ca="1">IF(B101="","",IF(INDIRECT("'"&amp;$Q$3&amp;"'!"&amp;$Q$6&amp;(B101+1))=1,"ON","OFF"))</f>
        <v/>
      </c>
      <c r="D101" s="87" t="str" cm="1">
        <f t="array" aca="1" ref="D101" ca="1">IF(B101="","",IFERROR((INDIRECT("'"&amp;$Q$3&amp;"'!A"&amp;(B101+1))-INDIRECT("'"&amp;$Q$3&amp;"'!A2"))*86400,""))</f>
        <v/>
      </c>
      <c r="E101" s="88" t="str">
        <f t="shared" ref="E101:E132" ca="1" si="5">IF(OR(B101="",B102=""),"",ROUND((D102-D101)*1000,0))</f>
        <v/>
      </c>
      <c r="G101" s="60">
        <v>65</v>
      </c>
      <c r="H101" s="86" t="str" cm="1">
        <f t="array" aca="1" ref="H10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65),"")</f>
        <v/>
      </c>
      <c r="I101" s="86" t="str" cm="1">
        <f t="array" aca="1" ref="I101" ca="1">IF(H101="","",IF(INDIRECT("'"&amp;$Q$3&amp;"'!"&amp;$Q$7&amp;(H101+1))=1,"ON","OFF"))</f>
        <v/>
      </c>
      <c r="J101" s="87" t="str" cm="1">
        <f t="array" aca="1" ref="J101" ca="1">IF(H101="","",IFERROR((INDIRECT("'"&amp;$Q$3&amp;"'!A"&amp;(H101+1))-INDIRECT("'"&amp;$Q$3&amp;"'!A2"))*86400,""))</f>
        <v/>
      </c>
      <c r="K101" s="88" t="str">
        <f t="shared" ref="K101:K132" ca="1" si="6">IF(OR(H101="",H102=""),"",ROUND((J102-J101)*1000,0))</f>
        <v/>
      </c>
    </row>
    <row r="102" spans="1:11" x14ac:dyDescent="0.25">
      <c r="A102" s="60">
        <v>66</v>
      </c>
      <c r="B102" s="86" t="str" cm="1">
        <f t="array" aca="1" ref="B10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66),"")</f>
        <v/>
      </c>
      <c r="C102" s="86" t="str" cm="1">
        <f t="array" aca="1" ref="C102" ca="1">IF(B102="","",IF(INDIRECT("'"&amp;$Q$3&amp;"'!"&amp;$Q$6&amp;(B102+1))=1,"ON","OFF"))</f>
        <v/>
      </c>
      <c r="D102" s="87" t="str" cm="1">
        <f t="array" aca="1" ref="D102" ca="1">IF(B102="","",IFERROR((INDIRECT("'"&amp;$Q$3&amp;"'!A"&amp;(B102+1))-INDIRECT("'"&amp;$Q$3&amp;"'!A2"))*86400,""))</f>
        <v/>
      </c>
      <c r="E102" s="88" t="str">
        <f t="shared" ca="1" si="5"/>
        <v/>
      </c>
      <c r="G102" s="60">
        <v>66</v>
      </c>
      <c r="H102" s="86" t="str" cm="1">
        <f t="array" aca="1" ref="H10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66),"")</f>
        <v/>
      </c>
      <c r="I102" s="86" t="str" cm="1">
        <f t="array" aca="1" ref="I102" ca="1">IF(H102="","",IF(INDIRECT("'"&amp;$Q$3&amp;"'!"&amp;$Q$7&amp;(H102+1))=1,"ON","OFF"))</f>
        <v/>
      </c>
      <c r="J102" s="87" t="str" cm="1">
        <f t="array" aca="1" ref="J102" ca="1">IF(H102="","",IFERROR((INDIRECT("'"&amp;$Q$3&amp;"'!A"&amp;(H102+1))-INDIRECT("'"&amp;$Q$3&amp;"'!A2"))*86400,""))</f>
        <v/>
      </c>
      <c r="K102" s="88" t="str">
        <f t="shared" ca="1" si="6"/>
        <v/>
      </c>
    </row>
    <row r="103" spans="1:11" x14ac:dyDescent="0.25">
      <c r="A103" s="60">
        <v>67</v>
      </c>
      <c r="B103" s="86" t="str" cm="1">
        <f t="array" aca="1" ref="B10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67),"")</f>
        <v/>
      </c>
      <c r="C103" s="86" t="str" cm="1">
        <f t="array" aca="1" ref="C103" ca="1">IF(B103="","",IF(INDIRECT("'"&amp;$Q$3&amp;"'!"&amp;$Q$6&amp;(B103+1))=1,"ON","OFF"))</f>
        <v/>
      </c>
      <c r="D103" s="87" t="str" cm="1">
        <f t="array" aca="1" ref="D103" ca="1">IF(B103="","",IFERROR((INDIRECT("'"&amp;$Q$3&amp;"'!A"&amp;(B103+1))-INDIRECT("'"&amp;$Q$3&amp;"'!A2"))*86400,""))</f>
        <v/>
      </c>
      <c r="E103" s="88" t="str">
        <f t="shared" ca="1" si="5"/>
        <v/>
      </c>
      <c r="G103" s="60">
        <v>67</v>
      </c>
      <c r="H103" s="86" t="str" cm="1">
        <f t="array" aca="1" ref="H10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67),"")</f>
        <v/>
      </c>
      <c r="I103" s="86" t="str" cm="1">
        <f t="array" aca="1" ref="I103" ca="1">IF(H103="","",IF(INDIRECT("'"&amp;$Q$3&amp;"'!"&amp;$Q$7&amp;(H103+1))=1,"ON","OFF"))</f>
        <v/>
      </c>
      <c r="J103" s="87" t="str" cm="1">
        <f t="array" aca="1" ref="J103" ca="1">IF(H103="","",IFERROR((INDIRECT("'"&amp;$Q$3&amp;"'!A"&amp;(H103+1))-INDIRECT("'"&amp;$Q$3&amp;"'!A2"))*86400,""))</f>
        <v/>
      </c>
      <c r="K103" s="88" t="str">
        <f t="shared" ca="1" si="6"/>
        <v/>
      </c>
    </row>
    <row r="104" spans="1:11" x14ac:dyDescent="0.25">
      <c r="A104" s="60">
        <v>68</v>
      </c>
      <c r="B104" s="86" t="str" cm="1">
        <f t="array" aca="1" ref="B10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68),"")</f>
        <v/>
      </c>
      <c r="C104" s="86" t="str" cm="1">
        <f t="array" aca="1" ref="C104" ca="1">IF(B104="","",IF(INDIRECT("'"&amp;$Q$3&amp;"'!"&amp;$Q$6&amp;(B104+1))=1,"ON","OFF"))</f>
        <v/>
      </c>
      <c r="D104" s="87" t="str" cm="1">
        <f t="array" aca="1" ref="D104" ca="1">IF(B104="","",IFERROR((INDIRECT("'"&amp;$Q$3&amp;"'!A"&amp;(B104+1))-INDIRECT("'"&amp;$Q$3&amp;"'!A2"))*86400,""))</f>
        <v/>
      </c>
      <c r="E104" s="88" t="str">
        <f t="shared" ca="1" si="5"/>
        <v/>
      </c>
      <c r="G104" s="60">
        <v>68</v>
      </c>
      <c r="H104" s="86" t="str" cm="1">
        <f t="array" aca="1" ref="H10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68),"")</f>
        <v/>
      </c>
      <c r="I104" s="86" t="str" cm="1">
        <f t="array" aca="1" ref="I104" ca="1">IF(H104="","",IF(INDIRECT("'"&amp;$Q$3&amp;"'!"&amp;$Q$7&amp;(H104+1))=1,"ON","OFF"))</f>
        <v/>
      </c>
      <c r="J104" s="87" t="str" cm="1">
        <f t="array" aca="1" ref="J104" ca="1">IF(H104="","",IFERROR((INDIRECT("'"&amp;$Q$3&amp;"'!A"&amp;(H104+1))-INDIRECT("'"&amp;$Q$3&amp;"'!A2"))*86400,""))</f>
        <v/>
      </c>
      <c r="K104" s="88" t="str">
        <f t="shared" ca="1" si="6"/>
        <v/>
      </c>
    </row>
    <row r="105" spans="1:11" x14ac:dyDescent="0.25">
      <c r="A105" s="60">
        <v>69</v>
      </c>
      <c r="B105" s="86" t="str" cm="1">
        <f t="array" aca="1" ref="B10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69),"")</f>
        <v/>
      </c>
      <c r="C105" s="86" t="str" cm="1">
        <f t="array" aca="1" ref="C105" ca="1">IF(B105="","",IF(INDIRECT("'"&amp;$Q$3&amp;"'!"&amp;$Q$6&amp;(B105+1))=1,"ON","OFF"))</f>
        <v/>
      </c>
      <c r="D105" s="87" t="str" cm="1">
        <f t="array" aca="1" ref="D105" ca="1">IF(B105="","",IFERROR((INDIRECT("'"&amp;$Q$3&amp;"'!A"&amp;(B105+1))-INDIRECT("'"&amp;$Q$3&amp;"'!A2"))*86400,""))</f>
        <v/>
      </c>
      <c r="E105" s="88" t="str">
        <f t="shared" ca="1" si="5"/>
        <v/>
      </c>
      <c r="G105" s="60">
        <v>69</v>
      </c>
      <c r="H105" s="86" t="str" cm="1">
        <f t="array" aca="1" ref="H10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69),"")</f>
        <v/>
      </c>
      <c r="I105" s="86" t="str" cm="1">
        <f t="array" aca="1" ref="I105" ca="1">IF(H105="","",IF(INDIRECT("'"&amp;$Q$3&amp;"'!"&amp;$Q$7&amp;(H105+1))=1,"ON","OFF"))</f>
        <v/>
      </c>
      <c r="J105" s="87" t="str" cm="1">
        <f t="array" aca="1" ref="J105" ca="1">IF(H105="","",IFERROR((INDIRECT("'"&amp;$Q$3&amp;"'!A"&amp;(H105+1))-INDIRECT("'"&amp;$Q$3&amp;"'!A2"))*86400,""))</f>
        <v/>
      </c>
      <c r="K105" s="88" t="str">
        <f t="shared" ca="1" si="6"/>
        <v/>
      </c>
    </row>
    <row r="106" spans="1:11" x14ac:dyDescent="0.25">
      <c r="A106" s="60">
        <v>70</v>
      </c>
      <c r="B106" s="86" t="str" cm="1">
        <f t="array" aca="1" ref="B10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70),"")</f>
        <v/>
      </c>
      <c r="C106" s="86" t="str" cm="1">
        <f t="array" aca="1" ref="C106" ca="1">IF(B106="","",IF(INDIRECT("'"&amp;$Q$3&amp;"'!"&amp;$Q$6&amp;(B106+1))=1,"ON","OFF"))</f>
        <v/>
      </c>
      <c r="D106" s="87" t="str" cm="1">
        <f t="array" aca="1" ref="D106" ca="1">IF(B106="","",IFERROR((INDIRECT("'"&amp;$Q$3&amp;"'!A"&amp;(B106+1))-INDIRECT("'"&amp;$Q$3&amp;"'!A2"))*86400,""))</f>
        <v/>
      </c>
      <c r="E106" s="88" t="str">
        <f t="shared" ca="1" si="5"/>
        <v/>
      </c>
      <c r="G106" s="60">
        <v>70</v>
      </c>
      <c r="H106" s="86" t="str" cm="1">
        <f t="array" aca="1" ref="H10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70),"")</f>
        <v/>
      </c>
      <c r="I106" s="86" t="str" cm="1">
        <f t="array" aca="1" ref="I106" ca="1">IF(H106="","",IF(INDIRECT("'"&amp;$Q$3&amp;"'!"&amp;$Q$7&amp;(H106+1))=1,"ON","OFF"))</f>
        <v/>
      </c>
      <c r="J106" s="87" t="str" cm="1">
        <f t="array" aca="1" ref="J106" ca="1">IF(H106="","",IFERROR((INDIRECT("'"&amp;$Q$3&amp;"'!A"&amp;(H106+1))-INDIRECT("'"&amp;$Q$3&amp;"'!A2"))*86400,""))</f>
        <v/>
      </c>
      <c r="K106" s="88" t="str">
        <f t="shared" ca="1" si="6"/>
        <v/>
      </c>
    </row>
    <row r="107" spans="1:11" x14ac:dyDescent="0.25">
      <c r="A107" s="60">
        <v>71</v>
      </c>
      <c r="B107" s="86" t="str" cm="1">
        <f t="array" aca="1" ref="B10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71),"")</f>
        <v/>
      </c>
      <c r="C107" s="86" t="str" cm="1">
        <f t="array" aca="1" ref="C107" ca="1">IF(B107="","",IF(INDIRECT("'"&amp;$Q$3&amp;"'!"&amp;$Q$6&amp;(B107+1))=1,"ON","OFF"))</f>
        <v/>
      </c>
      <c r="D107" s="87" t="str" cm="1">
        <f t="array" aca="1" ref="D107" ca="1">IF(B107="","",IFERROR((INDIRECT("'"&amp;$Q$3&amp;"'!A"&amp;(B107+1))-INDIRECT("'"&amp;$Q$3&amp;"'!A2"))*86400,""))</f>
        <v/>
      </c>
      <c r="E107" s="88" t="str">
        <f t="shared" ca="1" si="5"/>
        <v/>
      </c>
      <c r="G107" s="60">
        <v>71</v>
      </c>
      <c r="H107" s="86" t="str" cm="1">
        <f t="array" aca="1" ref="H10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71),"")</f>
        <v/>
      </c>
      <c r="I107" s="86" t="str" cm="1">
        <f t="array" aca="1" ref="I107" ca="1">IF(H107="","",IF(INDIRECT("'"&amp;$Q$3&amp;"'!"&amp;$Q$7&amp;(H107+1))=1,"ON","OFF"))</f>
        <v/>
      </c>
      <c r="J107" s="87" t="str" cm="1">
        <f t="array" aca="1" ref="J107" ca="1">IF(H107="","",IFERROR((INDIRECT("'"&amp;$Q$3&amp;"'!A"&amp;(H107+1))-INDIRECT("'"&amp;$Q$3&amp;"'!A2"))*86400,""))</f>
        <v/>
      </c>
      <c r="K107" s="88" t="str">
        <f t="shared" ca="1" si="6"/>
        <v/>
      </c>
    </row>
    <row r="108" spans="1:11" x14ac:dyDescent="0.25">
      <c r="A108" s="60">
        <v>72</v>
      </c>
      <c r="B108" s="86" t="str" cm="1">
        <f t="array" aca="1" ref="B10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72),"")</f>
        <v/>
      </c>
      <c r="C108" s="86" t="str" cm="1">
        <f t="array" aca="1" ref="C108" ca="1">IF(B108="","",IF(INDIRECT("'"&amp;$Q$3&amp;"'!"&amp;$Q$6&amp;(B108+1))=1,"ON","OFF"))</f>
        <v/>
      </c>
      <c r="D108" s="87" t="str" cm="1">
        <f t="array" aca="1" ref="D108" ca="1">IF(B108="","",IFERROR((INDIRECT("'"&amp;$Q$3&amp;"'!A"&amp;(B108+1))-INDIRECT("'"&amp;$Q$3&amp;"'!A2"))*86400,""))</f>
        <v/>
      </c>
      <c r="E108" s="88" t="str">
        <f t="shared" ca="1" si="5"/>
        <v/>
      </c>
      <c r="G108" s="60">
        <v>72</v>
      </c>
      <c r="H108" s="86" t="str" cm="1">
        <f t="array" aca="1" ref="H10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72),"")</f>
        <v/>
      </c>
      <c r="I108" s="86" t="str" cm="1">
        <f t="array" aca="1" ref="I108" ca="1">IF(H108="","",IF(INDIRECT("'"&amp;$Q$3&amp;"'!"&amp;$Q$7&amp;(H108+1))=1,"ON","OFF"))</f>
        <v/>
      </c>
      <c r="J108" s="87" t="str" cm="1">
        <f t="array" aca="1" ref="J108" ca="1">IF(H108="","",IFERROR((INDIRECT("'"&amp;$Q$3&amp;"'!A"&amp;(H108+1))-INDIRECT("'"&amp;$Q$3&amp;"'!A2"))*86400,""))</f>
        <v/>
      </c>
      <c r="K108" s="88" t="str">
        <f t="shared" ca="1" si="6"/>
        <v/>
      </c>
    </row>
    <row r="109" spans="1:11" x14ac:dyDescent="0.25">
      <c r="A109" s="60">
        <v>73</v>
      </c>
      <c r="B109" s="86" t="str" cm="1">
        <f t="array" aca="1" ref="B10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73),"")</f>
        <v/>
      </c>
      <c r="C109" s="86" t="str" cm="1">
        <f t="array" aca="1" ref="C109" ca="1">IF(B109="","",IF(INDIRECT("'"&amp;$Q$3&amp;"'!"&amp;$Q$6&amp;(B109+1))=1,"ON","OFF"))</f>
        <v/>
      </c>
      <c r="D109" s="87" t="str" cm="1">
        <f t="array" aca="1" ref="D109" ca="1">IF(B109="","",IFERROR((INDIRECT("'"&amp;$Q$3&amp;"'!A"&amp;(B109+1))-INDIRECT("'"&amp;$Q$3&amp;"'!A2"))*86400,""))</f>
        <v/>
      </c>
      <c r="E109" s="88" t="str">
        <f t="shared" ca="1" si="5"/>
        <v/>
      </c>
      <c r="G109" s="60">
        <v>73</v>
      </c>
      <c r="H109" s="86" t="str" cm="1">
        <f t="array" aca="1" ref="H10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73),"")</f>
        <v/>
      </c>
      <c r="I109" s="86" t="str" cm="1">
        <f t="array" aca="1" ref="I109" ca="1">IF(H109="","",IF(INDIRECT("'"&amp;$Q$3&amp;"'!"&amp;$Q$7&amp;(H109+1))=1,"ON","OFF"))</f>
        <v/>
      </c>
      <c r="J109" s="87" t="str" cm="1">
        <f t="array" aca="1" ref="J109" ca="1">IF(H109="","",IFERROR((INDIRECT("'"&amp;$Q$3&amp;"'!A"&amp;(H109+1))-INDIRECT("'"&amp;$Q$3&amp;"'!A2"))*86400,""))</f>
        <v/>
      </c>
      <c r="K109" s="88" t="str">
        <f t="shared" ca="1" si="6"/>
        <v/>
      </c>
    </row>
    <row r="110" spans="1:11" x14ac:dyDescent="0.25">
      <c r="A110" s="60">
        <v>74</v>
      </c>
      <c r="B110" s="86" t="str" cm="1">
        <f t="array" aca="1" ref="B11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74),"")</f>
        <v/>
      </c>
      <c r="C110" s="86" t="str" cm="1">
        <f t="array" aca="1" ref="C110" ca="1">IF(B110="","",IF(INDIRECT("'"&amp;$Q$3&amp;"'!"&amp;$Q$6&amp;(B110+1))=1,"ON","OFF"))</f>
        <v/>
      </c>
      <c r="D110" s="87" t="str" cm="1">
        <f t="array" aca="1" ref="D110" ca="1">IF(B110="","",IFERROR((INDIRECT("'"&amp;$Q$3&amp;"'!A"&amp;(B110+1))-INDIRECT("'"&amp;$Q$3&amp;"'!A2"))*86400,""))</f>
        <v/>
      </c>
      <c r="E110" s="88" t="str">
        <f t="shared" ca="1" si="5"/>
        <v/>
      </c>
      <c r="G110" s="60">
        <v>74</v>
      </c>
      <c r="H110" s="86" t="str" cm="1">
        <f t="array" aca="1" ref="H11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74),"")</f>
        <v/>
      </c>
      <c r="I110" s="86" t="str" cm="1">
        <f t="array" aca="1" ref="I110" ca="1">IF(H110="","",IF(INDIRECT("'"&amp;$Q$3&amp;"'!"&amp;$Q$7&amp;(H110+1))=1,"ON","OFF"))</f>
        <v/>
      </c>
      <c r="J110" s="87" t="str" cm="1">
        <f t="array" aca="1" ref="J110" ca="1">IF(H110="","",IFERROR((INDIRECT("'"&amp;$Q$3&amp;"'!A"&amp;(H110+1))-INDIRECT("'"&amp;$Q$3&amp;"'!A2"))*86400,""))</f>
        <v/>
      </c>
      <c r="K110" s="88" t="str">
        <f t="shared" ca="1" si="6"/>
        <v/>
      </c>
    </row>
    <row r="111" spans="1:11" x14ac:dyDescent="0.25">
      <c r="A111" s="60">
        <v>75</v>
      </c>
      <c r="B111" s="86" t="str" cm="1">
        <f t="array" aca="1" ref="B11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75),"")</f>
        <v/>
      </c>
      <c r="C111" s="86" t="str" cm="1">
        <f t="array" aca="1" ref="C111" ca="1">IF(B111="","",IF(INDIRECT("'"&amp;$Q$3&amp;"'!"&amp;$Q$6&amp;(B111+1))=1,"ON","OFF"))</f>
        <v/>
      </c>
      <c r="D111" s="87" t="str" cm="1">
        <f t="array" aca="1" ref="D111" ca="1">IF(B111="","",IFERROR((INDIRECT("'"&amp;$Q$3&amp;"'!A"&amp;(B111+1))-INDIRECT("'"&amp;$Q$3&amp;"'!A2"))*86400,""))</f>
        <v/>
      </c>
      <c r="E111" s="88" t="str">
        <f t="shared" ca="1" si="5"/>
        <v/>
      </c>
      <c r="G111" s="60">
        <v>75</v>
      </c>
      <c r="H111" s="86" t="str" cm="1">
        <f t="array" aca="1" ref="H11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75),"")</f>
        <v/>
      </c>
      <c r="I111" s="86" t="str" cm="1">
        <f t="array" aca="1" ref="I111" ca="1">IF(H111="","",IF(INDIRECT("'"&amp;$Q$3&amp;"'!"&amp;$Q$7&amp;(H111+1))=1,"ON","OFF"))</f>
        <v/>
      </c>
      <c r="J111" s="87" t="str" cm="1">
        <f t="array" aca="1" ref="J111" ca="1">IF(H111="","",IFERROR((INDIRECT("'"&amp;$Q$3&amp;"'!A"&amp;(H111+1))-INDIRECT("'"&amp;$Q$3&amp;"'!A2"))*86400,""))</f>
        <v/>
      </c>
      <c r="K111" s="88" t="str">
        <f t="shared" ca="1" si="6"/>
        <v/>
      </c>
    </row>
    <row r="112" spans="1:11" x14ac:dyDescent="0.25">
      <c r="A112" s="60">
        <v>76</v>
      </c>
      <c r="B112" s="86" t="str" cm="1">
        <f t="array" aca="1" ref="B11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76),"")</f>
        <v/>
      </c>
      <c r="C112" s="86" t="str" cm="1">
        <f t="array" aca="1" ref="C112" ca="1">IF(B112="","",IF(INDIRECT("'"&amp;$Q$3&amp;"'!"&amp;$Q$6&amp;(B112+1))=1,"ON","OFF"))</f>
        <v/>
      </c>
      <c r="D112" s="87" t="str" cm="1">
        <f t="array" aca="1" ref="D112" ca="1">IF(B112="","",IFERROR((INDIRECT("'"&amp;$Q$3&amp;"'!A"&amp;(B112+1))-INDIRECT("'"&amp;$Q$3&amp;"'!A2"))*86400,""))</f>
        <v/>
      </c>
      <c r="E112" s="88" t="str">
        <f t="shared" ca="1" si="5"/>
        <v/>
      </c>
      <c r="G112" s="60">
        <v>76</v>
      </c>
      <c r="H112" s="86" t="str" cm="1">
        <f t="array" aca="1" ref="H11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76),"")</f>
        <v/>
      </c>
      <c r="I112" s="86" t="str" cm="1">
        <f t="array" aca="1" ref="I112" ca="1">IF(H112="","",IF(INDIRECT("'"&amp;$Q$3&amp;"'!"&amp;$Q$7&amp;(H112+1))=1,"ON","OFF"))</f>
        <v/>
      </c>
      <c r="J112" s="87" t="str" cm="1">
        <f t="array" aca="1" ref="J112" ca="1">IF(H112="","",IFERROR((INDIRECT("'"&amp;$Q$3&amp;"'!A"&amp;(H112+1))-INDIRECT("'"&amp;$Q$3&amp;"'!A2"))*86400,""))</f>
        <v/>
      </c>
      <c r="K112" s="88" t="str">
        <f t="shared" ca="1" si="6"/>
        <v/>
      </c>
    </row>
    <row r="113" spans="1:11" x14ac:dyDescent="0.25">
      <c r="A113" s="60">
        <v>77</v>
      </c>
      <c r="B113" s="86" t="str" cm="1">
        <f t="array" aca="1" ref="B11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77),"")</f>
        <v/>
      </c>
      <c r="C113" s="86" t="str" cm="1">
        <f t="array" aca="1" ref="C113" ca="1">IF(B113="","",IF(INDIRECT("'"&amp;$Q$3&amp;"'!"&amp;$Q$6&amp;(B113+1))=1,"ON","OFF"))</f>
        <v/>
      </c>
      <c r="D113" s="87" t="str" cm="1">
        <f t="array" aca="1" ref="D113" ca="1">IF(B113="","",IFERROR((INDIRECT("'"&amp;$Q$3&amp;"'!A"&amp;(B113+1))-INDIRECT("'"&amp;$Q$3&amp;"'!A2"))*86400,""))</f>
        <v/>
      </c>
      <c r="E113" s="88" t="str">
        <f t="shared" ca="1" si="5"/>
        <v/>
      </c>
      <c r="G113" s="60">
        <v>77</v>
      </c>
      <c r="H113" s="86" t="str" cm="1">
        <f t="array" aca="1" ref="H11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77),"")</f>
        <v/>
      </c>
      <c r="I113" s="86" t="str" cm="1">
        <f t="array" aca="1" ref="I113" ca="1">IF(H113="","",IF(INDIRECT("'"&amp;$Q$3&amp;"'!"&amp;$Q$7&amp;(H113+1))=1,"ON","OFF"))</f>
        <v/>
      </c>
      <c r="J113" s="87" t="str" cm="1">
        <f t="array" aca="1" ref="J113" ca="1">IF(H113="","",IFERROR((INDIRECT("'"&amp;$Q$3&amp;"'!A"&amp;(H113+1))-INDIRECT("'"&amp;$Q$3&amp;"'!A2"))*86400,""))</f>
        <v/>
      </c>
      <c r="K113" s="88" t="str">
        <f t="shared" ca="1" si="6"/>
        <v/>
      </c>
    </row>
    <row r="114" spans="1:11" x14ac:dyDescent="0.25">
      <c r="A114" s="60">
        <v>78</v>
      </c>
      <c r="B114" s="86" t="str" cm="1">
        <f t="array" aca="1" ref="B11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78),"")</f>
        <v/>
      </c>
      <c r="C114" s="86" t="str" cm="1">
        <f t="array" aca="1" ref="C114" ca="1">IF(B114="","",IF(INDIRECT("'"&amp;$Q$3&amp;"'!"&amp;$Q$6&amp;(B114+1))=1,"ON","OFF"))</f>
        <v/>
      </c>
      <c r="D114" s="87" t="str" cm="1">
        <f t="array" aca="1" ref="D114" ca="1">IF(B114="","",IFERROR((INDIRECT("'"&amp;$Q$3&amp;"'!A"&amp;(B114+1))-INDIRECT("'"&amp;$Q$3&amp;"'!A2"))*86400,""))</f>
        <v/>
      </c>
      <c r="E114" s="88" t="str">
        <f t="shared" ca="1" si="5"/>
        <v/>
      </c>
      <c r="G114" s="60">
        <v>78</v>
      </c>
      <c r="H114" s="86" t="str" cm="1">
        <f t="array" aca="1" ref="H11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78),"")</f>
        <v/>
      </c>
      <c r="I114" s="86" t="str" cm="1">
        <f t="array" aca="1" ref="I114" ca="1">IF(H114="","",IF(INDIRECT("'"&amp;$Q$3&amp;"'!"&amp;$Q$7&amp;(H114+1))=1,"ON","OFF"))</f>
        <v/>
      </c>
      <c r="J114" s="87" t="str" cm="1">
        <f t="array" aca="1" ref="J114" ca="1">IF(H114="","",IFERROR((INDIRECT("'"&amp;$Q$3&amp;"'!A"&amp;(H114+1))-INDIRECT("'"&amp;$Q$3&amp;"'!A2"))*86400,""))</f>
        <v/>
      </c>
      <c r="K114" s="88" t="str">
        <f t="shared" ca="1" si="6"/>
        <v/>
      </c>
    </row>
    <row r="115" spans="1:11" x14ac:dyDescent="0.25">
      <c r="A115" s="60">
        <v>79</v>
      </c>
      <c r="B115" s="86" t="str" cm="1">
        <f t="array" aca="1" ref="B11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79),"")</f>
        <v/>
      </c>
      <c r="C115" s="86" t="str" cm="1">
        <f t="array" aca="1" ref="C115" ca="1">IF(B115="","",IF(INDIRECT("'"&amp;$Q$3&amp;"'!"&amp;$Q$6&amp;(B115+1))=1,"ON","OFF"))</f>
        <v/>
      </c>
      <c r="D115" s="87" t="str" cm="1">
        <f t="array" aca="1" ref="D115" ca="1">IF(B115="","",IFERROR((INDIRECT("'"&amp;$Q$3&amp;"'!A"&amp;(B115+1))-INDIRECT("'"&amp;$Q$3&amp;"'!A2"))*86400,""))</f>
        <v/>
      </c>
      <c r="E115" s="88" t="str">
        <f t="shared" ca="1" si="5"/>
        <v/>
      </c>
      <c r="G115" s="60">
        <v>79</v>
      </c>
      <c r="H115" s="86" t="str" cm="1">
        <f t="array" aca="1" ref="H11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79),"")</f>
        <v/>
      </c>
      <c r="I115" s="86" t="str" cm="1">
        <f t="array" aca="1" ref="I115" ca="1">IF(H115="","",IF(INDIRECT("'"&amp;$Q$3&amp;"'!"&amp;$Q$7&amp;(H115+1))=1,"ON","OFF"))</f>
        <v/>
      </c>
      <c r="J115" s="87" t="str" cm="1">
        <f t="array" aca="1" ref="J115" ca="1">IF(H115="","",IFERROR((INDIRECT("'"&amp;$Q$3&amp;"'!A"&amp;(H115+1))-INDIRECT("'"&amp;$Q$3&amp;"'!A2"))*86400,""))</f>
        <v/>
      </c>
      <c r="K115" s="88" t="str">
        <f t="shared" ca="1" si="6"/>
        <v/>
      </c>
    </row>
    <row r="116" spans="1:11" x14ac:dyDescent="0.25">
      <c r="A116" s="60">
        <v>80</v>
      </c>
      <c r="B116" s="86" t="str" cm="1">
        <f t="array" aca="1" ref="B11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80),"")</f>
        <v/>
      </c>
      <c r="C116" s="86" t="str" cm="1">
        <f t="array" aca="1" ref="C116" ca="1">IF(B116="","",IF(INDIRECT("'"&amp;$Q$3&amp;"'!"&amp;$Q$6&amp;(B116+1))=1,"ON","OFF"))</f>
        <v/>
      </c>
      <c r="D116" s="87" t="str" cm="1">
        <f t="array" aca="1" ref="D116" ca="1">IF(B116="","",IFERROR((INDIRECT("'"&amp;$Q$3&amp;"'!A"&amp;(B116+1))-INDIRECT("'"&amp;$Q$3&amp;"'!A2"))*86400,""))</f>
        <v/>
      </c>
      <c r="E116" s="88" t="str">
        <f t="shared" ca="1" si="5"/>
        <v/>
      </c>
      <c r="G116" s="60">
        <v>80</v>
      </c>
      <c r="H116" s="86" t="str" cm="1">
        <f t="array" aca="1" ref="H11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80),"")</f>
        <v/>
      </c>
      <c r="I116" s="86" t="str" cm="1">
        <f t="array" aca="1" ref="I116" ca="1">IF(H116="","",IF(INDIRECT("'"&amp;$Q$3&amp;"'!"&amp;$Q$7&amp;(H116+1))=1,"ON","OFF"))</f>
        <v/>
      </c>
      <c r="J116" s="87" t="str" cm="1">
        <f t="array" aca="1" ref="J116" ca="1">IF(H116="","",IFERROR((INDIRECT("'"&amp;$Q$3&amp;"'!A"&amp;(H116+1))-INDIRECT("'"&amp;$Q$3&amp;"'!A2"))*86400,""))</f>
        <v/>
      </c>
      <c r="K116" s="88" t="str">
        <f t="shared" ca="1" si="6"/>
        <v/>
      </c>
    </row>
    <row r="117" spans="1:11" x14ac:dyDescent="0.25">
      <c r="A117" s="60">
        <v>81</v>
      </c>
      <c r="B117" s="86" t="str" cm="1">
        <f t="array" aca="1" ref="B11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81),"")</f>
        <v/>
      </c>
      <c r="C117" s="86" t="str" cm="1">
        <f t="array" aca="1" ref="C117" ca="1">IF(B117="","",IF(INDIRECT("'"&amp;$Q$3&amp;"'!"&amp;$Q$6&amp;(B117+1))=1,"ON","OFF"))</f>
        <v/>
      </c>
      <c r="D117" s="87" t="str" cm="1">
        <f t="array" aca="1" ref="D117" ca="1">IF(B117="","",IFERROR((INDIRECT("'"&amp;$Q$3&amp;"'!A"&amp;(B117+1))-INDIRECT("'"&amp;$Q$3&amp;"'!A2"))*86400,""))</f>
        <v/>
      </c>
      <c r="E117" s="88" t="str">
        <f t="shared" ca="1" si="5"/>
        <v/>
      </c>
      <c r="G117" s="60">
        <v>81</v>
      </c>
      <c r="H117" s="86" t="str" cm="1">
        <f t="array" aca="1" ref="H11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81),"")</f>
        <v/>
      </c>
      <c r="I117" s="86" t="str" cm="1">
        <f t="array" aca="1" ref="I117" ca="1">IF(H117="","",IF(INDIRECT("'"&amp;$Q$3&amp;"'!"&amp;$Q$7&amp;(H117+1))=1,"ON","OFF"))</f>
        <v/>
      </c>
      <c r="J117" s="87" t="str" cm="1">
        <f t="array" aca="1" ref="J117" ca="1">IF(H117="","",IFERROR((INDIRECT("'"&amp;$Q$3&amp;"'!A"&amp;(H117+1))-INDIRECT("'"&amp;$Q$3&amp;"'!A2"))*86400,""))</f>
        <v/>
      </c>
      <c r="K117" s="88" t="str">
        <f t="shared" ca="1" si="6"/>
        <v/>
      </c>
    </row>
    <row r="118" spans="1:11" x14ac:dyDescent="0.25">
      <c r="A118" s="60">
        <v>82</v>
      </c>
      <c r="B118" s="86" t="str" cm="1">
        <f t="array" aca="1" ref="B11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82),"")</f>
        <v/>
      </c>
      <c r="C118" s="86" t="str" cm="1">
        <f t="array" aca="1" ref="C118" ca="1">IF(B118="","",IF(INDIRECT("'"&amp;$Q$3&amp;"'!"&amp;$Q$6&amp;(B118+1))=1,"ON","OFF"))</f>
        <v/>
      </c>
      <c r="D118" s="87" t="str" cm="1">
        <f t="array" aca="1" ref="D118" ca="1">IF(B118="","",IFERROR((INDIRECT("'"&amp;$Q$3&amp;"'!A"&amp;(B118+1))-INDIRECT("'"&amp;$Q$3&amp;"'!A2"))*86400,""))</f>
        <v/>
      </c>
      <c r="E118" s="88" t="str">
        <f t="shared" ca="1" si="5"/>
        <v/>
      </c>
      <c r="G118" s="60">
        <v>82</v>
      </c>
      <c r="H118" s="86" t="str" cm="1">
        <f t="array" aca="1" ref="H11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82),"")</f>
        <v/>
      </c>
      <c r="I118" s="86" t="str" cm="1">
        <f t="array" aca="1" ref="I118" ca="1">IF(H118="","",IF(INDIRECT("'"&amp;$Q$3&amp;"'!"&amp;$Q$7&amp;(H118+1))=1,"ON","OFF"))</f>
        <v/>
      </c>
      <c r="J118" s="87" t="str" cm="1">
        <f t="array" aca="1" ref="J118" ca="1">IF(H118="","",IFERROR((INDIRECT("'"&amp;$Q$3&amp;"'!A"&amp;(H118+1))-INDIRECT("'"&amp;$Q$3&amp;"'!A2"))*86400,""))</f>
        <v/>
      </c>
      <c r="K118" s="88" t="str">
        <f t="shared" ca="1" si="6"/>
        <v/>
      </c>
    </row>
    <row r="119" spans="1:11" x14ac:dyDescent="0.25">
      <c r="A119" s="60">
        <v>83</v>
      </c>
      <c r="B119" s="86" t="str" cm="1">
        <f t="array" aca="1" ref="B11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83),"")</f>
        <v/>
      </c>
      <c r="C119" s="86" t="str" cm="1">
        <f t="array" aca="1" ref="C119" ca="1">IF(B119="","",IF(INDIRECT("'"&amp;$Q$3&amp;"'!"&amp;$Q$6&amp;(B119+1))=1,"ON","OFF"))</f>
        <v/>
      </c>
      <c r="D119" s="87" t="str" cm="1">
        <f t="array" aca="1" ref="D119" ca="1">IF(B119="","",IFERROR((INDIRECT("'"&amp;$Q$3&amp;"'!A"&amp;(B119+1))-INDIRECT("'"&amp;$Q$3&amp;"'!A2"))*86400,""))</f>
        <v/>
      </c>
      <c r="E119" s="88" t="str">
        <f t="shared" ca="1" si="5"/>
        <v/>
      </c>
      <c r="G119" s="60">
        <v>83</v>
      </c>
      <c r="H119" s="86" t="str" cm="1">
        <f t="array" aca="1" ref="H11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83),"")</f>
        <v/>
      </c>
      <c r="I119" s="86" t="str" cm="1">
        <f t="array" aca="1" ref="I119" ca="1">IF(H119="","",IF(INDIRECT("'"&amp;$Q$3&amp;"'!"&amp;$Q$7&amp;(H119+1))=1,"ON","OFF"))</f>
        <v/>
      </c>
      <c r="J119" s="87" t="str" cm="1">
        <f t="array" aca="1" ref="J119" ca="1">IF(H119="","",IFERROR((INDIRECT("'"&amp;$Q$3&amp;"'!A"&amp;(H119+1))-INDIRECT("'"&amp;$Q$3&amp;"'!A2"))*86400,""))</f>
        <v/>
      </c>
      <c r="K119" s="88" t="str">
        <f t="shared" ca="1" si="6"/>
        <v/>
      </c>
    </row>
    <row r="120" spans="1:11" x14ac:dyDescent="0.25">
      <c r="A120" s="60">
        <v>84</v>
      </c>
      <c r="B120" s="86" t="str" cm="1">
        <f t="array" aca="1" ref="B12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84),"")</f>
        <v/>
      </c>
      <c r="C120" s="86" t="str" cm="1">
        <f t="array" aca="1" ref="C120" ca="1">IF(B120="","",IF(INDIRECT("'"&amp;$Q$3&amp;"'!"&amp;$Q$6&amp;(B120+1))=1,"ON","OFF"))</f>
        <v/>
      </c>
      <c r="D120" s="87" t="str" cm="1">
        <f t="array" aca="1" ref="D120" ca="1">IF(B120="","",IFERROR((INDIRECT("'"&amp;$Q$3&amp;"'!A"&amp;(B120+1))-INDIRECT("'"&amp;$Q$3&amp;"'!A2"))*86400,""))</f>
        <v/>
      </c>
      <c r="E120" s="88" t="str">
        <f t="shared" ca="1" si="5"/>
        <v/>
      </c>
      <c r="G120" s="60">
        <v>84</v>
      </c>
      <c r="H120" s="86" t="str" cm="1">
        <f t="array" aca="1" ref="H12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84),"")</f>
        <v/>
      </c>
      <c r="I120" s="86" t="str" cm="1">
        <f t="array" aca="1" ref="I120" ca="1">IF(H120="","",IF(INDIRECT("'"&amp;$Q$3&amp;"'!"&amp;$Q$7&amp;(H120+1))=1,"ON","OFF"))</f>
        <v/>
      </c>
      <c r="J120" s="87" t="str" cm="1">
        <f t="array" aca="1" ref="J120" ca="1">IF(H120="","",IFERROR((INDIRECT("'"&amp;$Q$3&amp;"'!A"&amp;(H120+1))-INDIRECT("'"&amp;$Q$3&amp;"'!A2"))*86400,""))</f>
        <v/>
      </c>
      <c r="K120" s="88" t="str">
        <f t="shared" ca="1" si="6"/>
        <v/>
      </c>
    </row>
    <row r="121" spans="1:11" x14ac:dyDescent="0.25">
      <c r="A121" s="60">
        <v>85</v>
      </c>
      <c r="B121" s="86" t="str" cm="1">
        <f t="array" aca="1" ref="B12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85),"")</f>
        <v/>
      </c>
      <c r="C121" s="86" t="str" cm="1">
        <f t="array" aca="1" ref="C121" ca="1">IF(B121="","",IF(INDIRECT("'"&amp;$Q$3&amp;"'!"&amp;$Q$6&amp;(B121+1))=1,"ON","OFF"))</f>
        <v/>
      </c>
      <c r="D121" s="87" t="str" cm="1">
        <f t="array" aca="1" ref="D121" ca="1">IF(B121="","",IFERROR((INDIRECT("'"&amp;$Q$3&amp;"'!A"&amp;(B121+1))-INDIRECT("'"&amp;$Q$3&amp;"'!A2"))*86400,""))</f>
        <v/>
      </c>
      <c r="E121" s="88" t="str">
        <f t="shared" ca="1" si="5"/>
        <v/>
      </c>
      <c r="G121" s="60">
        <v>85</v>
      </c>
      <c r="H121" s="86" t="str" cm="1">
        <f t="array" aca="1" ref="H12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85),"")</f>
        <v/>
      </c>
      <c r="I121" s="86" t="str" cm="1">
        <f t="array" aca="1" ref="I121" ca="1">IF(H121="","",IF(INDIRECT("'"&amp;$Q$3&amp;"'!"&amp;$Q$7&amp;(H121+1))=1,"ON","OFF"))</f>
        <v/>
      </c>
      <c r="J121" s="87" t="str" cm="1">
        <f t="array" aca="1" ref="J121" ca="1">IF(H121="","",IFERROR((INDIRECT("'"&amp;$Q$3&amp;"'!A"&amp;(H121+1))-INDIRECT("'"&amp;$Q$3&amp;"'!A2"))*86400,""))</f>
        <v/>
      </c>
      <c r="K121" s="88" t="str">
        <f t="shared" ca="1" si="6"/>
        <v/>
      </c>
    </row>
    <row r="122" spans="1:11" x14ac:dyDescent="0.25">
      <c r="A122" s="60">
        <v>86</v>
      </c>
      <c r="B122" s="86" t="str" cm="1">
        <f t="array" aca="1" ref="B12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86),"")</f>
        <v/>
      </c>
      <c r="C122" s="86" t="str" cm="1">
        <f t="array" aca="1" ref="C122" ca="1">IF(B122="","",IF(INDIRECT("'"&amp;$Q$3&amp;"'!"&amp;$Q$6&amp;(B122+1))=1,"ON","OFF"))</f>
        <v/>
      </c>
      <c r="D122" s="87" t="str" cm="1">
        <f t="array" aca="1" ref="D122" ca="1">IF(B122="","",IFERROR((INDIRECT("'"&amp;$Q$3&amp;"'!A"&amp;(B122+1))-INDIRECT("'"&amp;$Q$3&amp;"'!A2"))*86400,""))</f>
        <v/>
      </c>
      <c r="E122" s="88" t="str">
        <f t="shared" ca="1" si="5"/>
        <v/>
      </c>
      <c r="G122" s="60">
        <v>86</v>
      </c>
      <c r="H122" s="86" t="str" cm="1">
        <f t="array" aca="1" ref="H12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86),"")</f>
        <v/>
      </c>
      <c r="I122" s="86" t="str" cm="1">
        <f t="array" aca="1" ref="I122" ca="1">IF(H122="","",IF(INDIRECT("'"&amp;$Q$3&amp;"'!"&amp;$Q$7&amp;(H122+1))=1,"ON","OFF"))</f>
        <v/>
      </c>
      <c r="J122" s="87" t="str" cm="1">
        <f t="array" aca="1" ref="J122" ca="1">IF(H122="","",IFERROR((INDIRECT("'"&amp;$Q$3&amp;"'!A"&amp;(H122+1))-INDIRECT("'"&amp;$Q$3&amp;"'!A2"))*86400,""))</f>
        <v/>
      </c>
      <c r="K122" s="88" t="str">
        <f t="shared" ca="1" si="6"/>
        <v/>
      </c>
    </row>
    <row r="123" spans="1:11" x14ac:dyDescent="0.25">
      <c r="A123" s="60">
        <v>87</v>
      </c>
      <c r="B123" s="86" t="str" cm="1">
        <f t="array" aca="1" ref="B12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87),"")</f>
        <v/>
      </c>
      <c r="C123" s="86" t="str" cm="1">
        <f t="array" aca="1" ref="C123" ca="1">IF(B123="","",IF(INDIRECT("'"&amp;$Q$3&amp;"'!"&amp;$Q$6&amp;(B123+1))=1,"ON","OFF"))</f>
        <v/>
      </c>
      <c r="D123" s="87" t="str" cm="1">
        <f t="array" aca="1" ref="D123" ca="1">IF(B123="","",IFERROR((INDIRECT("'"&amp;$Q$3&amp;"'!A"&amp;(B123+1))-INDIRECT("'"&amp;$Q$3&amp;"'!A2"))*86400,""))</f>
        <v/>
      </c>
      <c r="E123" s="88" t="str">
        <f t="shared" ca="1" si="5"/>
        <v/>
      </c>
      <c r="G123" s="60">
        <v>87</v>
      </c>
      <c r="H123" s="86" t="str" cm="1">
        <f t="array" aca="1" ref="H12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87),"")</f>
        <v/>
      </c>
      <c r="I123" s="86" t="str" cm="1">
        <f t="array" aca="1" ref="I123" ca="1">IF(H123="","",IF(INDIRECT("'"&amp;$Q$3&amp;"'!"&amp;$Q$7&amp;(H123+1))=1,"ON","OFF"))</f>
        <v/>
      </c>
      <c r="J123" s="87" t="str" cm="1">
        <f t="array" aca="1" ref="J123" ca="1">IF(H123="","",IFERROR((INDIRECT("'"&amp;$Q$3&amp;"'!A"&amp;(H123+1))-INDIRECT("'"&amp;$Q$3&amp;"'!A2"))*86400,""))</f>
        <v/>
      </c>
      <c r="K123" s="88" t="str">
        <f t="shared" ca="1" si="6"/>
        <v/>
      </c>
    </row>
    <row r="124" spans="1:11" x14ac:dyDescent="0.25">
      <c r="A124" s="60">
        <v>88</v>
      </c>
      <c r="B124" s="86" t="str" cm="1">
        <f t="array" aca="1" ref="B12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88),"")</f>
        <v/>
      </c>
      <c r="C124" s="86" t="str" cm="1">
        <f t="array" aca="1" ref="C124" ca="1">IF(B124="","",IF(INDIRECT("'"&amp;$Q$3&amp;"'!"&amp;$Q$6&amp;(B124+1))=1,"ON","OFF"))</f>
        <v/>
      </c>
      <c r="D124" s="87" t="str" cm="1">
        <f t="array" aca="1" ref="D124" ca="1">IF(B124="","",IFERROR((INDIRECT("'"&amp;$Q$3&amp;"'!A"&amp;(B124+1))-INDIRECT("'"&amp;$Q$3&amp;"'!A2"))*86400,""))</f>
        <v/>
      </c>
      <c r="E124" s="88" t="str">
        <f t="shared" ca="1" si="5"/>
        <v/>
      </c>
      <c r="G124" s="60">
        <v>88</v>
      </c>
      <c r="H124" s="86" t="str" cm="1">
        <f t="array" aca="1" ref="H12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88),"")</f>
        <v/>
      </c>
      <c r="I124" s="86" t="str" cm="1">
        <f t="array" aca="1" ref="I124" ca="1">IF(H124="","",IF(INDIRECT("'"&amp;$Q$3&amp;"'!"&amp;$Q$7&amp;(H124+1))=1,"ON","OFF"))</f>
        <v/>
      </c>
      <c r="J124" s="87" t="str" cm="1">
        <f t="array" aca="1" ref="J124" ca="1">IF(H124="","",IFERROR((INDIRECT("'"&amp;$Q$3&amp;"'!A"&amp;(H124+1))-INDIRECT("'"&amp;$Q$3&amp;"'!A2"))*86400,""))</f>
        <v/>
      </c>
      <c r="K124" s="88" t="str">
        <f t="shared" ca="1" si="6"/>
        <v/>
      </c>
    </row>
    <row r="125" spans="1:11" x14ac:dyDescent="0.25">
      <c r="A125" s="60">
        <v>89</v>
      </c>
      <c r="B125" s="86" t="str" cm="1">
        <f t="array" aca="1" ref="B12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89),"")</f>
        <v/>
      </c>
      <c r="C125" s="86" t="str" cm="1">
        <f t="array" aca="1" ref="C125" ca="1">IF(B125="","",IF(INDIRECT("'"&amp;$Q$3&amp;"'!"&amp;$Q$6&amp;(B125+1))=1,"ON","OFF"))</f>
        <v/>
      </c>
      <c r="D125" s="87" t="str" cm="1">
        <f t="array" aca="1" ref="D125" ca="1">IF(B125="","",IFERROR((INDIRECT("'"&amp;$Q$3&amp;"'!A"&amp;(B125+1))-INDIRECT("'"&amp;$Q$3&amp;"'!A2"))*86400,""))</f>
        <v/>
      </c>
      <c r="E125" s="88" t="str">
        <f t="shared" ca="1" si="5"/>
        <v/>
      </c>
      <c r="G125" s="60">
        <v>89</v>
      </c>
      <c r="H125" s="86" t="str" cm="1">
        <f t="array" aca="1" ref="H12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89),"")</f>
        <v/>
      </c>
      <c r="I125" s="86" t="str" cm="1">
        <f t="array" aca="1" ref="I125" ca="1">IF(H125="","",IF(INDIRECT("'"&amp;$Q$3&amp;"'!"&amp;$Q$7&amp;(H125+1))=1,"ON","OFF"))</f>
        <v/>
      </c>
      <c r="J125" s="87" t="str" cm="1">
        <f t="array" aca="1" ref="J125" ca="1">IF(H125="","",IFERROR((INDIRECT("'"&amp;$Q$3&amp;"'!A"&amp;(H125+1))-INDIRECT("'"&amp;$Q$3&amp;"'!A2"))*86400,""))</f>
        <v/>
      </c>
      <c r="K125" s="88" t="str">
        <f t="shared" ca="1" si="6"/>
        <v/>
      </c>
    </row>
    <row r="126" spans="1:11" x14ac:dyDescent="0.25">
      <c r="A126" s="60">
        <v>90</v>
      </c>
      <c r="B126" s="86" t="str" cm="1">
        <f t="array" aca="1" ref="B12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90),"")</f>
        <v/>
      </c>
      <c r="C126" s="86" t="str" cm="1">
        <f t="array" aca="1" ref="C126" ca="1">IF(B126="","",IF(INDIRECT("'"&amp;$Q$3&amp;"'!"&amp;$Q$6&amp;(B126+1))=1,"ON","OFF"))</f>
        <v/>
      </c>
      <c r="D126" s="87" t="str" cm="1">
        <f t="array" aca="1" ref="D126" ca="1">IF(B126="","",IFERROR((INDIRECT("'"&amp;$Q$3&amp;"'!A"&amp;(B126+1))-INDIRECT("'"&amp;$Q$3&amp;"'!A2"))*86400,""))</f>
        <v/>
      </c>
      <c r="E126" s="88" t="str">
        <f t="shared" ca="1" si="5"/>
        <v/>
      </c>
      <c r="G126" s="60">
        <v>90</v>
      </c>
      <c r="H126" s="86" t="str" cm="1">
        <f t="array" aca="1" ref="H12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90),"")</f>
        <v/>
      </c>
      <c r="I126" s="86" t="str" cm="1">
        <f t="array" aca="1" ref="I126" ca="1">IF(H126="","",IF(INDIRECT("'"&amp;$Q$3&amp;"'!"&amp;$Q$7&amp;(H126+1))=1,"ON","OFF"))</f>
        <v/>
      </c>
      <c r="J126" s="87" t="str" cm="1">
        <f t="array" aca="1" ref="J126" ca="1">IF(H126="","",IFERROR((INDIRECT("'"&amp;$Q$3&amp;"'!A"&amp;(H126+1))-INDIRECT("'"&amp;$Q$3&amp;"'!A2"))*86400,""))</f>
        <v/>
      </c>
      <c r="K126" s="88" t="str">
        <f t="shared" ca="1" si="6"/>
        <v/>
      </c>
    </row>
    <row r="127" spans="1:11" x14ac:dyDescent="0.25">
      <c r="A127" s="60">
        <v>91</v>
      </c>
      <c r="B127" s="86" t="str" cm="1">
        <f t="array" aca="1" ref="B12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91),"")</f>
        <v/>
      </c>
      <c r="C127" s="86" t="str" cm="1">
        <f t="array" aca="1" ref="C127" ca="1">IF(B127="","",IF(INDIRECT("'"&amp;$Q$3&amp;"'!"&amp;$Q$6&amp;(B127+1))=1,"ON","OFF"))</f>
        <v/>
      </c>
      <c r="D127" s="87" t="str" cm="1">
        <f t="array" aca="1" ref="D127" ca="1">IF(B127="","",IFERROR((INDIRECT("'"&amp;$Q$3&amp;"'!A"&amp;(B127+1))-INDIRECT("'"&amp;$Q$3&amp;"'!A2"))*86400,""))</f>
        <v/>
      </c>
      <c r="E127" s="88" t="str">
        <f t="shared" ca="1" si="5"/>
        <v/>
      </c>
      <c r="G127" s="60">
        <v>91</v>
      </c>
      <c r="H127" s="86" t="str" cm="1">
        <f t="array" aca="1" ref="H12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91),"")</f>
        <v/>
      </c>
      <c r="I127" s="86" t="str" cm="1">
        <f t="array" aca="1" ref="I127" ca="1">IF(H127="","",IF(INDIRECT("'"&amp;$Q$3&amp;"'!"&amp;$Q$7&amp;(H127+1))=1,"ON","OFF"))</f>
        <v/>
      </c>
      <c r="J127" s="87" t="str" cm="1">
        <f t="array" aca="1" ref="J127" ca="1">IF(H127="","",IFERROR((INDIRECT("'"&amp;$Q$3&amp;"'!A"&amp;(H127+1))-INDIRECT("'"&amp;$Q$3&amp;"'!A2"))*86400,""))</f>
        <v/>
      </c>
      <c r="K127" s="88" t="str">
        <f t="shared" ca="1" si="6"/>
        <v/>
      </c>
    </row>
    <row r="128" spans="1:11" x14ac:dyDescent="0.25">
      <c r="A128" s="60">
        <v>92</v>
      </c>
      <c r="B128" s="86" t="str" cm="1">
        <f t="array" aca="1" ref="B12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92),"")</f>
        <v/>
      </c>
      <c r="C128" s="86" t="str" cm="1">
        <f t="array" aca="1" ref="C128" ca="1">IF(B128="","",IF(INDIRECT("'"&amp;$Q$3&amp;"'!"&amp;$Q$6&amp;(B128+1))=1,"ON","OFF"))</f>
        <v/>
      </c>
      <c r="D128" s="87" t="str" cm="1">
        <f t="array" aca="1" ref="D128" ca="1">IF(B128="","",IFERROR((INDIRECT("'"&amp;$Q$3&amp;"'!A"&amp;(B128+1))-INDIRECT("'"&amp;$Q$3&amp;"'!A2"))*86400,""))</f>
        <v/>
      </c>
      <c r="E128" s="88" t="str">
        <f t="shared" ca="1" si="5"/>
        <v/>
      </c>
      <c r="G128" s="60">
        <v>92</v>
      </c>
      <c r="H128" s="86" t="str" cm="1">
        <f t="array" aca="1" ref="H12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92),"")</f>
        <v/>
      </c>
      <c r="I128" s="86" t="str" cm="1">
        <f t="array" aca="1" ref="I128" ca="1">IF(H128="","",IF(INDIRECT("'"&amp;$Q$3&amp;"'!"&amp;$Q$7&amp;(H128+1))=1,"ON","OFF"))</f>
        <v/>
      </c>
      <c r="J128" s="87" t="str" cm="1">
        <f t="array" aca="1" ref="J128" ca="1">IF(H128="","",IFERROR((INDIRECT("'"&amp;$Q$3&amp;"'!A"&amp;(H128+1))-INDIRECT("'"&amp;$Q$3&amp;"'!A2"))*86400,""))</f>
        <v/>
      </c>
      <c r="K128" s="88" t="str">
        <f t="shared" ca="1" si="6"/>
        <v/>
      </c>
    </row>
    <row r="129" spans="1:11" x14ac:dyDescent="0.25">
      <c r="A129" s="60">
        <v>93</v>
      </c>
      <c r="B129" s="86" t="str" cm="1">
        <f t="array" aca="1" ref="B12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93),"")</f>
        <v/>
      </c>
      <c r="C129" s="86" t="str" cm="1">
        <f t="array" aca="1" ref="C129" ca="1">IF(B129="","",IF(INDIRECT("'"&amp;$Q$3&amp;"'!"&amp;$Q$6&amp;(B129+1))=1,"ON","OFF"))</f>
        <v/>
      </c>
      <c r="D129" s="87" t="str" cm="1">
        <f t="array" aca="1" ref="D129" ca="1">IF(B129="","",IFERROR((INDIRECT("'"&amp;$Q$3&amp;"'!A"&amp;(B129+1))-INDIRECT("'"&amp;$Q$3&amp;"'!A2"))*86400,""))</f>
        <v/>
      </c>
      <c r="E129" s="88" t="str">
        <f t="shared" ca="1" si="5"/>
        <v/>
      </c>
      <c r="G129" s="60">
        <v>93</v>
      </c>
      <c r="H129" s="86" t="str" cm="1">
        <f t="array" aca="1" ref="H12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93),"")</f>
        <v/>
      </c>
      <c r="I129" s="86" t="str" cm="1">
        <f t="array" aca="1" ref="I129" ca="1">IF(H129="","",IF(INDIRECT("'"&amp;$Q$3&amp;"'!"&amp;$Q$7&amp;(H129+1))=1,"ON","OFF"))</f>
        <v/>
      </c>
      <c r="J129" s="87" t="str" cm="1">
        <f t="array" aca="1" ref="J129" ca="1">IF(H129="","",IFERROR((INDIRECT("'"&amp;$Q$3&amp;"'!A"&amp;(H129+1))-INDIRECT("'"&amp;$Q$3&amp;"'!A2"))*86400,""))</f>
        <v/>
      </c>
      <c r="K129" s="88" t="str">
        <f t="shared" ca="1" si="6"/>
        <v/>
      </c>
    </row>
    <row r="130" spans="1:11" x14ac:dyDescent="0.25">
      <c r="A130" s="60">
        <v>94</v>
      </c>
      <c r="B130" s="86" t="str" cm="1">
        <f t="array" aca="1" ref="B13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94),"")</f>
        <v/>
      </c>
      <c r="C130" s="86" t="str" cm="1">
        <f t="array" aca="1" ref="C130" ca="1">IF(B130="","",IF(INDIRECT("'"&amp;$Q$3&amp;"'!"&amp;$Q$6&amp;(B130+1))=1,"ON","OFF"))</f>
        <v/>
      </c>
      <c r="D130" s="87" t="str" cm="1">
        <f t="array" aca="1" ref="D130" ca="1">IF(B130="","",IFERROR((INDIRECT("'"&amp;$Q$3&amp;"'!A"&amp;(B130+1))-INDIRECT("'"&amp;$Q$3&amp;"'!A2"))*86400,""))</f>
        <v/>
      </c>
      <c r="E130" s="88" t="str">
        <f t="shared" ca="1" si="5"/>
        <v/>
      </c>
      <c r="G130" s="60">
        <v>94</v>
      </c>
      <c r="H130" s="86" t="str" cm="1">
        <f t="array" aca="1" ref="H13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94),"")</f>
        <v/>
      </c>
      <c r="I130" s="86" t="str" cm="1">
        <f t="array" aca="1" ref="I130" ca="1">IF(H130="","",IF(INDIRECT("'"&amp;$Q$3&amp;"'!"&amp;$Q$7&amp;(H130+1))=1,"ON","OFF"))</f>
        <v/>
      </c>
      <c r="J130" s="87" t="str" cm="1">
        <f t="array" aca="1" ref="J130" ca="1">IF(H130="","",IFERROR((INDIRECT("'"&amp;$Q$3&amp;"'!A"&amp;(H130+1))-INDIRECT("'"&amp;$Q$3&amp;"'!A2"))*86400,""))</f>
        <v/>
      </c>
      <c r="K130" s="88" t="str">
        <f t="shared" ca="1" si="6"/>
        <v/>
      </c>
    </row>
    <row r="131" spans="1:11" x14ac:dyDescent="0.25">
      <c r="A131" s="60">
        <v>95</v>
      </c>
      <c r="B131" s="86" t="str" cm="1">
        <f t="array" aca="1" ref="B13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95),"")</f>
        <v/>
      </c>
      <c r="C131" s="86" t="str" cm="1">
        <f t="array" aca="1" ref="C131" ca="1">IF(B131="","",IF(INDIRECT("'"&amp;$Q$3&amp;"'!"&amp;$Q$6&amp;(B131+1))=1,"ON","OFF"))</f>
        <v/>
      </c>
      <c r="D131" s="87" t="str" cm="1">
        <f t="array" aca="1" ref="D131" ca="1">IF(B131="","",IFERROR((INDIRECT("'"&amp;$Q$3&amp;"'!A"&amp;(B131+1))-INDIRECT("'"&amp;$Q$3&amp;"'!A2"))*86400,""))</f>
        <v/>
      </c>
      <c r="E131" s="88" t="str">
        <f t="shared" ca="1" si="5"/>
        <v/>
      </c>
      <c r="G131" s="60">
        <v>95</v>
      </c>
      <c r="H131" s="86" t="str" cm="1">
        <f t="array" aca="1" ref="H13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95),"")</f>
        <v/>
      </c>
      <c r="I131" s="86" t="str" cm="1">
        <f t="array" aca="1" ref="I131" ca="1">IF(H131="","",IF(INDIRECT("'"&amp;$Q$3&amp;"'!"&amp;$Q$7&amp;(H131+1))=1,"ON","OFF"))</f>
        <v/>
      </c>
      <c r="J131" s="87" t="str" cm="1">
        <f t="array" aca="1" ref="J131" ca="1">IF(H131="","",IFERROR((INDIRECT("'"&amp;$Q$3&amp;"'!A"&amp;(H131+1))-INDIRECT("'"&amp;$Q$3&amp;"'!A2"))*86400,""))</f>
        <v/>
      </c>
      <c r="K131" s="88" t="str">
        <f t="shared" ca="1" si="6"/>
        <v/>
      </c>
    </row>
    <row r="132" spans="1:11" x14ac:dyDescent="0.25">
      <c r="A132" s="60">
        <v>96</v>
      </c>
      <c r="B132" s="86" t="str" cm="1">
        <f t="array" aca="1" ref="B13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96),"")</f>
        <v/>
      </c>
      <c r="C132" s="86" t="str" cm="1">
        <f t="array" aca="1" ref="C132" ca="1">IF(B132="","",IF(INDIRECT("'"&amp;$Q$3&amp;"'!"&amp;$Q$6&amp;(B132+1))=1,"ON","OFF"))</f>
        <v/>
      </c>
      <c r="D132" s="87" t="str" cm="1">
        <f t="array" aca="1" ref="D132" ca="1">IF(B132="","",IFERROR((INDIRECT("'"&amp;$Q$3&amp;"'!A"&amp;(B132+1))-INDIRECT("'"&amp;$Q$3&amp;"'!A2"))*86400,""))</f>
        <v/>
      </c>
      <c r="E132" s="88" t="str">
        <f t="shared" ca="1" si="5"/>
        <v/>
      </c>
      <c r="G132" s="60">
        <v>96</v>
      </c>
      <c r="H132" s="86" t="str" cm="1">
        <f t="array" aca="1" ref="H13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96),"")</f>
        <v/>
      </c>
      <c r="I132" s="86" t="str" cm="1">
        <f t="array" aca="1" ref="I132" ca="1">IF(H132="","",IF(INDIRECT("'"&amp;$Q$3&amp;"'!"&amp;$Q$7&amp;(H132+1))=1,"ON","OFF"))</f>
        <v/>
      </c>
      <c r="J132" s="87" t="str" cm="1">
        <f t="array" aca="1" ref="J132" ca="1">IF(H132="","",IFERROR((INDIRECT("'"&amp;$Q$3&amp;"'!A"&amp;(H132+1))-INDIRECT("'"&amp;$Q$3&amp;"'!A2"))*86400,""))</f>
        <v/>
      </c>
      <c r="K132" s="88" t="str">
        <f t="shared" ca="1" si="6"/>
        <v/>
      </c>
    </row>
    <row r="133" spans="1:11" x14ac:dyDescent="0.25">
      <c r="A133" s="60">
        <v>97</v>
      </c>
      <c r="B133" s="86" t="str" cm="1">
        <f t="array" aca="1" ref="B13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97),"")</f>
        <v/>
      </c>
      <c r="C133" s="86" t="str" cm="1">
        <f t="array" aca="1" ref="C133" ca="1">IF(B133="","",IF(INDIRECT("'"&amp;$Q$3&amp;"'!"&amp;$Q$6&amp;(B133+1))=1,"ON","OFF"))</f>
        <v/>
      </c>
      <c r="D133" s="87" t="str" cm="1">
        <f t="array" aca="1" ref="D133" ca="1">IF(B133="","",IFERROR((INDIRECT("'"&amp;$Q$3&amp;"'!A"&amp;(B133+1))-INDIRECT("'"&amp;$Q$3&amp;"'!A2"))*86400,""))</f>
        <v/>
      </c>
      <c r="E133" s="88" t="str">
        <f t="shared" ref="E133:E164" ca="1" si="7">IF(OR(B133="",B134=""),"",ROUND((D134-D133)*1000,0))</f>
        <v/>
      </c>
      <c r="G133" s="60">
        <v>97</v>
      </c>
      <c r="H133" s="86" t="str" cm="1">
        <f t="array" aca="1" ref="H13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97),"")</f>
        <v/>
      </c>
      <c r="I133" s="86" t="str" cm="1">
        <f t="array" aca="1" ref="I133" ca="1">IF(H133="","",IF(INDIRECT("'"&amp;$Q$3&amp;"'!"&amp;$Q$7&amp;(H133+1))=1,"ON","OFF"))</f>
        <v/>
      </c>
      <c r="J133" s="87" t="str" cm="1">
        <f t="array" aca="1" ref="J133" ca="1">IF(H133="","",IFERROR((INDIRECT("'"&amp;$Q$3&amp;"'!A"&amp;(H133+1))-INDIRECT("'"&amp;$Q$3&amp;"'!A2"))*86400,""))</f>
        <v/>
      </c>
      <c r="K133" s="88" t="str">
        <f t="shared" ref="K133:K164" ca="1" si="8">IF(OR(H133="",H134=""),"",ROUND((J134-J133)*1000,0))</f>
        <v/>
      </c>
    </row>
    <row r="134" spans="1:11" x14ac:dyDescent="0.25">
      <c r="A134" s="60">
        <v>98</v>
      </c>
      <c r="B134" s="86" t="str" cm="1">
        <f t="array" aca="1" ref="B13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98),"")</f>
        <v/>
      </c>
      <c r="C134" s="86" t="str" cm="1">
        <f t="array" aca="1" ref="C134" ca="1">IF(B134="","",IF(INDIRECT("'"&amp;$Q$3&amp;"'!"&amp;$Q$6&amp;(B134+1))=1,"ON","OFF"))</f>
        <v/>
      </c>
      <c r="D134" s="87" t="str" cm="1">
        <f t="array" aca="1" ref="D134" ca="1">IF(B134="","",IFERROR((INDIRECT("'"&amp;$Q$3&amp;"'!A"&amp;(B134+1))-INDIRECT("'"&amp;$Q$3&amp;"'!A2"))*86400,""))</f>
        <v/>
      </c>
      <c r="E134" s="88" t="str">
        <f t="shared" ca="1" si="7"/>
        <v/>
      </c>
      <c r="G134" s="60">
        <v>98</v>
      </c>
      <c r="H134" s="86" t="str" cm="1">
        <f t="array" aca="1" ref="H13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98),"")</f>
        <v/>
      </c>
      <c r="I134" s="86" t="str" cm="1">
        <f t="array" aca="1" ref="I134" ca="1">IF(H134="","",IF(INDIRECT("'"&amp;$Q$3&amp;"'!"&amp;$Q$7&amp;(H134+1))=1,"ON","OFF"))</f>
        <v/>
      </c>
      <c r="J134" s="87" t="str" cm="1">
        <f t="array" aca="1" ref="J134" ca="1">IF(H134="","",IFERROR((INDIRECT("'"&amp;$Q$3&amp;"'!A"&amp;(H134+1))-INDIRECT("'"&amp;$Q$3&amp;"'!A2"))*86400,""))</f>
        <v/>
      </c>
      <c r="K134" s="88" t="str">
        <f t="shared" ca="1" si="8"/>
        <v/>
      </c>
    </row>
    <row r="135" spans="1:11" x14ac:dyDescent="0.25">
      <c r="A135" s="60">
        <v>99</v>
      </c>
      <c r="B135" s="86" t="str" cm="1">
        <f t="array" aca="1" ref="B13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99),"")</f>
        <v/>
      </c>
      <c r="C135" s="86" t="str" cm="1">
        <f t="array" aca="1" ref="C135" ca="1">IF(B135="","",IF(INDIRECT("'"&amp;$Q$3&amp;"'!"&amp;$Q$6&amp;(B135+1))=1,"ON","OFF"))</f>
        <v/>
      </c>
      <c r="D135" s="87" t="str" cm="1">
        <f t="array" aca="1" ref="D135" ca="1">IF(B135="","",IFERROR((INDIRECT("'"&amp;$Q$3&amp;"'!A"&amp;(B135+1))-INDIRECT("'"&amp;$Q$3&amp;"'!A2"))*86400,""))</f>
        <v/>
      </c>
      <c r="E135" s="88" t="str">
        <f t="shared" ca="1" si="7"/>
        <v/>
      </c>
      <c r="G135" s="60">
        <v>99</v>
      </c>
      <c r="H135" s="86" t="str" cm="1">
        <f t="array" aca="1" ref="H13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99),"")</f>
        <v/>
      </c>
      <c r="I135" s="86" t="str" cm="1">
        <f t="array" aca="1" ref="I135" ca="1">IF(H135="","",IF(INDIRECT("'"&amp;$Q$3&amp;"'!"&amp;$Q$7&amp;(H135+1))=1,"ON","OFF"))</f>
        <v/>
      </c>
      <c r="J135" s="87" t="str" cm="1">
        <f t="array" aca="1" ref="J135" ca="1">IF(H135="","",IFERROR((INDIRECT("'"&amp;$Q$3&amp;"'!A"&amp;(H135+1))-INDIRECT("'"&amp;$Q$3&amp;"'!A2"))*86400,""))</f>
        <v/>
      </c>
      <c r="K135" s="88" t="str">
        <f t="shared" ca="1" si="8"/>
        <v/>
      </c>
    </row>
    <row r="136" spans="1:11" x14ac:dyDescent="0.25">
      <c r="A136" s="60">
        <v>100</v>
      </c>
      <c r="B136" s="86" t="str" cm="1">
        <f t="array" aca="1" ref="B13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100),"")</f>
        <v/>
      </c>
      <c r="C136" s="86" t="str" cm="1">
        <f t="array" aca="1" ref="C136" ca="1">IF(B136="","",IF(INDIRECT("'"&amp;$Q$3&amp;"'!"&amp;$Q$6&amp;(B136+1))=1,"ON","OFF"))</f>
        <v/>
      </c>
      <c r="D136" s="87" t="str" cm="1">
        <f t="array" aca="1" ref="D136" ca="1">IF(B136="","",IFERROR((INDIRECT("'"&amp;$Q$3&amp;"'!A"&amp;(B136+1))-INDIRECT("'"&amp;$Q$3&amp;"'!A2"))*86400,""))</f>
        <v/>
      </c>
      <c r="E136" s="88" t="str">
        <f t="shared" ca="1" si="7"/>
        <v/>
      </c>
      <c r="G136" s="60">
        <v>100</v>
      </c>
      <c r="H136" s="86" t="str" cm="1">
        <f t="array" aca="1" ref="H13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100),"")</f>
        <v/>
      </c>
      <c r="I136" s="86" t="str" cm="1">
        <f t="array" aca="1" ref="I136" ca="1">IF(H136="","",IF(INDIRECT("'"&amp;$Q$3&amp;"'!"&amp;$Q$7&amp;(H136+1))=1,"ON","OFF"))</f>
        <v/>
      </c>
      <c r="J136" s="87" t="str" cm="1">
        <f t="array" aca="1" ref="J136" ca="1">IF(H136="","",IFERROR((INDIRECT("'"&amp;$Q$3&amp;"'!A"&amp;(H136+1))-INDIRECT("'"&amp;$Q$3&amp;"'!A2"))*86400,""))</f>
        <v/>
      </c>
      <c r="K136" s="88" t="str">
        <f t="shared" ca="1" si="8"/>
        <v/>
      </c>
    </row>
    <row r="137" spans="1:11" x14ac:dyDescent="0.25">
      <c r="A137" s="60">
        <v>101</v>
      </c>
      <c r="B137" s="86" t="str" cm="1">
        <f t="array" aca="1" ref="B13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101),"")</f>
        <v/>
      </c>
      <c r="C137" s="86" t="str" cm="1">
        <f t="array" aca="1" ref="C137" ca="1">IF(B137="","",IF(INDIRECT("'"&amp;$Q$3&amp;"'!"&amp;$Q$6&amp;(B137+1))=1,"ON","OFF"))</f>
        <v/>
      </c>
      <c r="D137" s="87" t="str" cm="1">
        <f t="array" aca="1" ref="D137" ca="1">IF(B137="","",IFERROR((INDIRECT("'"&amp;$Q$3&amp;"'!A"&amp;(B137+1))-INDIRECT("'"&amp;$Q$3&amp;"'!A2"))*86400,""))</f>
        <v/>
      </c>
      <c r="E137" s="88" t="str">
        <f t="shared" ca="1" si="7"/>
        <v/>
      </c>
      <c r="G137" s="60">
        <v>101</v>
      </c>
      <c r="H137" s="86" t="str" cm="1">
        <f t="array" aca="1" ref="H13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101),"")</f>
        <v/>
      </c>
      <c r="I137" s="86" t="str" cm="1">
        <f t="array" aca="1" ref="I137" ca="1">IF(H137="","",IF(INDIRECT("'"&amp;$Q$3&amp;"'!"&amp;$Q$7&amp;(H137+1))=1,"ON","OFF"))</f>
        <v/>
      </c>
      <c r="J137" s="87" t="str" cm="1">
        <f t="array" aca="1" ref="J137" ca="1">IF(H137="","",IFERROR((INDIRECT("'"&amp;$Q$3&amp;"'!A"&amp;(H137+1))-INDIRECT("'"&amp;$Q$3&amp;"'!A2"))*86400,""))</f>
        <v/>
      </c>
      <c r="K137" s="88" t="str">
        <f t="shared" ca="1" si="8"/>
        <v/>
      </c>
    </row>
    <row r="138" spans="1:11" x14ac:dyDescent="0.25">
      <c r="A138" s="60">
        <v>102</v>
      </c>
      <c r="B138" s="86" t="str" cm="1">
        <f t="array" aca="1" ref="B13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102),"")</f>
        <v/>
      </c>
      <c r="C138" s="86" t="str" cm="1">
        <f t="array" aca="1" ref="C138" ca="1">IF(B138="","",IF(INDIRECT("'"&amp;$Q$3&amp;"'!"&amp;$Q$6&amp;(B138+1))=1,"ON","OFF"))</f>
        <v/>
      </c>
      <c r="D138" s="87" t="str" cm="1">
        <f t="array" aca="1" ref="D138" ca="1">IF(B138="","",IFERROR((INDIRECT("'"&amp;$Q$3&amp;"'!A"&amp;(B138+1))-INDIRECT("'"&amp;$Q$3&amp;"'!A2"))*86400,""))</f>
        <v/>
      </c>
      <c r="E138" s="88" t="str">
        <f t="shared" ca="1" si="7"/>
        <v/>
      </c>
      <c r="G138" s="60">
        <v>102</v>
      </c>
      <c r="H138" s="86" t="str" cm="1">
        <f t="array" aca="1" ref="H13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102),"")</f>
        <v/>
      </c>
      <c r="I138" s="86" t="str" cm="1">
        <f t="array" aca="1" ref="I138" ca="1">IF(H138="","",IF(INDIRECT("'"&amp;$Q$3&amp;"'!"&amp;$Q$7&amp;(H138+1))=1,"ON","OFF"))</f>
        <v/>
      </c>
      <c r="J138" s="87" t="str" cm="1">
        <f t="array" aca="1" ref="J138" ca="1">IF(H138="","",IFERROR((INDIRECT("'"&amp;$Q$3&amp;"'!A"&amp;(H138+1))-INDIRECT("'"&amp;$Q$3&amp;"'!A2"))*86400,""))</f>
        <v/>
      </c>
      <c r="K138" s="88" t="str">
        <f t="shared" ca="1" si="8"/>
        <v/>
      </c>
    </row>
    <row r="139" spans="1:11" x14ac:dyDescent="0.25">
      <c r="A139" s="60">
        <v>103</v>
      </c>
      <c r="B139" s="86" t="str" cm="1">
        <f t="array" aca="1" ref="B13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103),"")</f>
        <v/>
      </c>
      <c r="C139" s="86" t="str" cm="1">
        <f t="array" aca="1" ref="C139" ca="1">IF(B139="","",IF(INDIRECT("'"&amp;$Q$3&amp;"'!"&amp;$Q$6&amp;(B139+1))=1,"ON","OFF"))</f>
        <v/>
      </c>
      <c r="D139" s="87" t="str" cm="1">
        <f t="array" aca="1" ref="D139" ca="1">IF(B139="","",IFERROR((INDIRECT("'"&amp;$Q$3&amp;"'!A"&amp;(B139+1))-INDIRECT("'"&amp;$Q$3&amp;"'!A2"))*86400,""))</f>
        <v/>
      </c>
      <c r="E139" s="88" t="str">
        <f t="shared" ca="1" si="7"/>
        <v/>
      </c>
      <c r="G139" s="60">
        <v>103</v>
      </c>
      <c r="H139" s="86" t="str" cm="1">
        <f t="array" aca="1" ref="H13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103),"")</f>
        <v/>
      </c>
      <c r="I139" s="86" t="str" cm="1">
        <f t="array" aca="1" ref="I139" ca="1">IF(H139="","",IF(INDIRECT("'"&amp;$Q$3&amp;"'!"&amp;$Q$7&amp;(H139+1))=1,"ON","OFF"))</f>
        <v/>
      </c>
      <c r="J139" s="87" t="str" cm="1">
        <f t="array" aca="1" ref="J139" ca="1">IF(H139="","",IFERROR((INDIRECT("'"&amp;$Q$3&amp;"'!A"&amp;(H139+1))-INDIRECT("'"&amp;$Q$3&amp;"'!A2"))*86400,""))</f>
        <v/>
      </c>
      <c r="K139" s="88" t="str">
        <f t="shared" ca="1" si="8"/>
        <v/>
      </c>
    </row>
    <row r="140" spans="1:11" x14ac:dyDescent="0.25">
      <c r="A140" s="60">
        <v>104</v>
      </c>
      <c r="B140" s="86" t="str" cm="1">
        <f t="array" aca="1" ref="B14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104),"")</f>
        <v/>
      </c>
      <c r="C140" s="86" t="str" cm="1">
        <f t="array" aca="1" ref="C140" ca="1">IF(B140="","",IF(INDIRECT("'"&amp;$Q$3&amp;"'!"&amp;$Q$6&amp;(B140+1))=1,"ON","OFF"))</f>
        <v/>
      </c>
      <c r="D140" s="87" t="str" cm="1">
        <f t="array" aca="1" ref="D140" ca="1">IF(B140="","",IFERROR((INDIRECT("'"&amp;$Q$3&amp;"'!A"&amp;(B140+1))-INDIRECT("'"&amp;$Q$3&amp;"'!A2"))*86400,""))</f>
        <v/>
      </c>
      <c r="E140" s="88" t="str">
        <f t="shared" ca="1" si="7"/>
        <v/>
      </c>
      <c r="G140" s="60">
        <v>104</v>
      </c>
      <c r="H140" s="86" t="str" cm="1">
        <f t="array" aca="1" ref="H14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104),"")</f>
        <v/>
      </c>
      <c r="I140" s="86" t="str" cm="1">
        <f t="array" aca="1" ref="I140" ca="1">IF(H140="","",IF(INDIRECT("'"&amp;$Q$3&amp;"'!"&amp;$Q$7&amp;(H140+1))=1,"ON","OFF"))</f>
        <v/>
      </c>
      <c r="J140" s="87" t="str" cm="1">
        <f t="array" aca="1" ref="J140" ca="1">IF(H140="","",IFERROR((INDIRECT("'"&amp;$Q$3&amp;"'!A"&amp;(H140+1))-INDIRECT("'"&amp;$Q$3&amp;"'!A2"))*86400,""))</f>
        <v/>
      </c>
      <c r="K140" s="88" t="str">
        <f t="shared" ca="1" si="8"/>
        <v/>
      </c>
    </row>
    <row r="141" spans="1:11" x14ac:dyDescent="0.25">
      <c r="A141" s="60">
        <v>105</v>
      </c>
      <c r="B141" s="86" t="str" cm="1">
        <f t="array" aca="1" ref="B14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105),"")</f>
        <v/>
      </c>
      <c r="C141" s="86" t="str" cm="1">
        <f t="array" aca="1" ref="C141" ca="1">IF(B141="","",IF(INDIRECT("'"&amp;$Q$3&amp;"'!"&amp;$Q$6&amp;(B141+1))=1,"ON","OFF"))</f>
        <v/>
      </c>
      <c r="D141" s="87" t="str" cm="1">
        <f t="array" aca="1" ref="D141" ca="1">IF(B141="","",IFERROR((INDIRECT("'"&amp;$Q$3&amp;"'!A"&amp;(B141+1))-INDIRECT("'"&amp;$Q$3&amp;"'!A2"))*86400,""))</f>
        <v/>
      </c>
      <c r="E141" s="88" t="str">
        <f t="shared" ca="1" si="7"/>
        <v/>
      </c>
      <c r="G141" s="60">
        <v>105</v>
      </c>
      <c r="H141" s="86" t="str" cm="1">
        <f t="array" aca="1" ref="H14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105),"")</f>
        <v/>
      </c>
      <c r="I141" s="86" t="str" cm="1">
        <f t="array" aca="1" ref="I141" ca="1">IF(H141="","",IF(INDIRECT("'"&amp;$Q$3&amp;"'!"&amp;$Q$7&amp;(H141+1))=1,"ON","OFF"))</f>
        <v/>
      </c>
      <c r="J141" s="87" t="str" cm="1">
        <f t="array" aca="1" ref="J141" ca="1">IF(H141="","",IFERROR((INDIRECT("'"&amp;$Q$3&amp;"'!A"&amp;(H141+1))-INDIRECT("'"&amp;$Q$3&amp;"'!A2"))*86400,""))</f>
        <v/>
      </c>
      <c r="K141" s="88" t="str">
        <f t="shared" ca="1" si="8"/>
        <v/>
      </c>
    </row>
    <row r="142" spans="1:11" x14ac:dyDescent="0.25">
      <c r="A142" s="60">
        <v>106</v>
      </c>
      <c r="B142" s="86" t="str" cm="1">
        <f t="array" aca="1" ref="B14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106),"")</f>
        <v/>
      </c>
      <c r="C142" s="86" t="str" cm="1">
        <f t="array" aca="1" ref="C142" ca="1">IF(B142="","",IF(INDIRECT("'"&amp;$Q$3&amp;"'!"&amp;$Q$6&amp;(B142+1))=1,"ON","OFF"))</f>
        <v/>
      </c>
      <c r="D142" s="87" t="str" cm="1">
        <f t="array" aca="1" ref="D142" ca="1">IF(B142="","",IFERROR((INDIRECT("'"&amp;$Q$3&amp;"'!A"&amp;(B142+1))-INDIRECT("'"&amp;$Q$3&amp;"'!A2"))*86400,""))</f>
        <v/>
      </c>
      <c r="E142" s="88" t="str">
        <f t="shared" ca="1" si="7"/>
        <v/>
      </c>
      <c r="G142" s="60">
        <v>106</v>
      </c>
      <c r="H142" s="86" t="str" cm="1">
        <f t="array" aca="1" ref="H14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106),"")</f>
        <v/>
      </c>
      <c r="I142" s="86" t="str" cm="1">
        <f t="array" aca="1" ref="I142" ca="1">IF(H142="","",IF(INDIRECT("'"&amp;$Q$3&amp;"'!"&amp;$Q$7&amp;(H142+1))=1,"ON","OFF"))</f>
        <v/>
      </c>
      <c r="J142" s="87" t="str" cm="1">
        <f t="array" aca="1" ref="J142" ca="1">IF(H142="","",IFERROR((INDIRECT("'"&amp;$Q$3&amp;"'!A"&amp;(H142+1))-INDIRECT("'"&amp;$Q$3&amp;"'!A2"))*86400,""))</f>
        <v/>
      </c>
      <c r="K142" s="88" t="str">
        <f t="shared" ca="1" si="8"/>
        <v/>
      </c>
    </row>
    <row r="143" spans="1:11" x14ac:dyDescent="0.25">
      <c r="A143" s="60">
        <v>107</v>
      </c>
      <c r="B143" s="86" t="str" cm="1">
        <f t="array" aca="1" ref="B14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107),"")</f>
        <v/>
      </c>
      <c r="C143" s="86" t="str" cm="1">
        <f t="array" aca="1" ref="C143" ca="1">IF(B143="","",IF(INDIRECT("'"&amp;$Q$3&amp;"'!"&amp;$Q$6&amp;(B143+1))=1,"ON","OFF"))</f>
        <v/>
      </c>
      <c r="D143" s="87" t="str" cm="1">
        <f t="array" aca="1" ref="D143" ca="1">IF(B143="","",IFERROR((INDIRECT("'"&amp;$Q$3&amp;"'!A"&amp;(B143+1))-INDIRECT("'"&amp;$Q$3&amp;"'!A2"))*86400,""))</f>
        <v/>
      </c>
      <c r="E143" s="88" t="str">
        <f t="shared" ca="1" si="7"/>
        <v/>
      </c>
      <c r="G143" s="60">
        <v>107</v>
      </c>
      <c r="H143" s="86" t="str" cm="1">
        <f t="array" aca="1" ref="H14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107),"")</f>
        <v/>
      </c>
      <c r="I143" s="86" t="str" cm="1">
        <f t="array" aca="1" ref="I143" ca="1">IF(H143="","",IF(INDIRECT("'"&amp;$Q$3&amp;"'!"&amp;$Q$7&amp;(H143+1))=1,"ON","OFF"))</f>
        <v/>
      </c>
      <c r="J143" s="87" t="str" cm="1">
        <f t="array" aca="1" ref="J143" ca="1">IF(H143="","",IFERROR((INDIRECT("'"&amp;$Q$3&amp;"'!A"&amp;(H143+1))-INDIRECT("'"&amp;$Q$3&amp;"'!A2"))*86400,""))</f>
        <v/>
      </c>
      <c r="K143" s="88" t="str">
        <f t="shared" ca="1" si="8"/>
        <v/>
      </c>
    </row>
    <row r="144" spans="1:11" x14ac:dyDescent="0.25">
      <c r="A144" s="60">
        <v>108</v>
      </c>
      <c r="B144" s="86" t="str" cm="1">
        <f t="array" aca="1" ref="B14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108),"")</f>
        <v/>
      </c>
      <c r="C144" s="86" t="str" cm="1">
        <f t="array" aca="1" ref="C144" ca="1">IF(B144="","",IF(INDIRECT("'"&amp;$Q$3&amp;"'!"&amp;$Q$6&amp;(B144+1))=1,"ON","OFF"))</f>
        <v/>
      </c>
      <c r="D144" s="87" t="str" cm="1">
        <f t="array" aca="1" ref="D144" ca="1">IF(B144="","",IFERROR((INDIRECT("'"&amp;$Q$3&amp;"'!A"&amp;(B144+1))-INDIRECT("'"&amp;$Q$3&amp;"'!A2"))*86400,""))</f>
        <v/>
      </c>
      <c r="E144" s="88" t="str">
        <f t="shared" ca="1" si="7"/>
        <v/>
      </c>
      <c r="G144" s="60">
        <v>108</v>
      </c>
      <c r="H144" s="86" t="str" cm="1">
        <f t="array" aca="1" ref="H14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108),"")</f>
        <v/>
      </c>
      <c r="I144" s="86" t="str" cm="1">
        <f t="array" aca="1" ref="I144" ca="1">IF(H144="","",IF(INDIRECT("'"&amp;$Q$3&amp;"'!"&amp;$Q$7&amp;(H144+1))=1,"ON","OFF"))</f>
        <v/>
      </c>
      <c r="J144" s="87" t="str" cm="1">
        <f t="array" aca="1" ref="J144" ca="1">IF(H144="","",IFERROR((INDIRECT("'"&amp;$Q$3&amp;"'!A"&amp;(H144+1))-INDIRECT("'"&amp;$Q$3&amp;"'!A2"))*86400,""))</f>
        <v/>
      </c>
      <c r="K144" s="88" t="str">
        <f t="shared" ca="1" si="8"/>
        <v/>
      </c>
    </row>
    <row r="145" spans="1:11" x14ac:dyDescent="0.25">
      <c r="A145" s="60">
        <v>109</v>
      </c>
      <c r="B145" s="86" t="str" cm="1">
        <f t="array" aca="1" ref="B14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109),"")</f>
        <v/>
      </c>
      <c r="C145" s="86" t="str" cm="1">
        <f t="array" aca="1" ref="C145" ca="1">IF(B145="","",IF(INDIRECT("'"&amp;$Q$3&amp;"'!"&amp;$Q$6&amp;(B145+1))=1,"ON","OFF"))</f>
        <v/>
      </c>
      <c r="D145" s="87" t="str" cm="1">
        <f t="array" aca="1" ref="D145" ca="1">IF(B145="","",IFERROR((INDIRECT("'"&amp;$Q$3&amp;"'!A"&amp;(B145+1))-INDIRECT("'"&amp;$Q$3&amp;"'!A2"))*86400,""))</f>
        <v/>
      </c>
      <c r="E145" s="88" t="str">
        <f t="shared" ca="1" si="7"/>
        <v/>
      </c>
      <c r="G145" s="60">
        <v>109</v>
      </c>
      <c r="H145" s="86" t="str" cm="1">
        <f t="array" aca="1" ref="H14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109),"")</f>
        <v/>
      </c>
      <c r="I145" s="86" t="str" cm="1">
        <f t="array" aca="1" ref="I145" ca="1">IF(H145="","",IF(INDIRECT("'"&amp;$Q$3&amp;"'!"&amp;$Q$7&amp;(H145+1))=1,"ON","OFF"))</f>
        <v/>
      </c>
      <c r="J145" s="87" t="str" cm="1">
        <f t="array" aca="1" ref="J145" ca="1">IF(H145="","",IFERROR((INDIRECT("'"&amp;$Q$3&amp;"'!A"&amp;(H145+1))-INDIRECT("'"&amp;$Q$3&amp;"'!A2"))*86400,""))</f>
        <v/>
      </c>
      <c r="K145" s="88" t="str">
        <f t="shared" ca="1" si="8"/>
        <v/>
      </c>
    </row>
    <row r="146" spans="1:11" x14ac:dyDescent="0.25">
      <c r="A146" s="60">
        <v>110</v>
      </c>
      <c r="B146" s="86" t="str" cm="1">
        <f t="array" aca="1" ref="B14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110),"")</f>
        <v/>
      </c>
      <c r="C146" s="86" t="str" cm="1">
        <f t="array" aca="1" ref="C146" ca="1">IF(B146="","",IF(INDIRECT("'"&amp;$Q$3&amp;"'!"&amp;$Q$6&amp;(B146+1))=1,"ON","OFF"))</f>
        <v/>
      </c>
      <c r="D146" s="87" t="str" cm="1">
        <f t="array" aca="1" ref="D146" ca="1">IF(B146="","",IFERROR((INDIRECT("'"&amp;$Q$3&amp;"'!A"&amp;(B146+1))-INDIRECT("'"&amp;$Q$3&amp;"'!A2"))*86400,""))</f>
        <v/>
      </c>
      <c r="E146" s="88" t="str">
        <f t="shared" ca="1" si="7"/>
        <v/>
      </c>
      <c r="G146" s="60">
        <v>110</v>
      </c>
      <c r="H146" s="86" t="str" cm="1">
        <f t="array" aca="1" ref="H14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110),"")</f>
        <v/>
      </c>
      <c r="I146" s="86" t="str" cm="1">
        <f t="array" aca="1" ref="I146" ca="1">IF(H146="","",IF(INDIRECT("'"&amp;$Q$3&amp;"'!"&amp;$Q$7&amp;(H146+1))=1,"ON","OFF"))</f>
        <v/>
      </c>
      <c r="J146" s="87" t="str" cm="1">
        <f t="array" aca="1" ref="J146" ca="1">IF(H146="","",IFERROR((INDIRECT("'"&amp;$Q$3&amp;"'!A"&amp;(H146+1))-INDIRECT("'"&amp;$Q$3&amp;"'!A2"))*86400,""))</f>
        <v/>
      </c>
      <c r="K146" s="88" t="str">
        <f t="shared" ca="1" si="8"/>
        <v/>
      </c>
    </row>
    <row r="147" spans="1:11" x14ac:dyDescent="0.25">
      <c r="A147" s="60">
        <v>111</v>
      </c>
      <c r="B147" s="86" t="str" cm="1">
        <f t="array" aca="1" ref="B14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111),"")</f>
        <v/>
      </c>
      <c r="C147" s="86" t="str" cm="1">
        <f t="array" aca="1" ref="C147" ca="1">IF(B147="","",IF(INDIRECT("'"&amp;$Q$3&amp;"'!"&amp;$Q$6&amp;(B147+1))=1,"ON","OFF"))</f>
        <v/>
      </c>
      <c r="D147" s="87" t="str" cm="1">
        <f t="array" aca="1" ref="D147" ca="1">IF(B147="","",IFERROR((INDIRECT("'"&amp;$Q$3&amp;"'!A"&amp;(B147+1))-INDIRECT("'"&amp;$Q$3&amp;"'!A2"))*86400,""))</f>
        <v/>
      </c>
      <c r="E147" s="88" t="str">
        <f t="shared" ca="1" si="7"/>
        <v/>
      </c>
      <c r="G147" s="60">
        <v>111</v>
      </c>
      <c r="H147" s="86" t="str" cm="1">
        <f t="array" aca="1" ref="H14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111),"")</f>
        <v/>
      </c>
      <c r="I147" s="86" t="str" cm="1">
        <f t="array" aca="1" ref="I147" ca="1">IF(H147="","",IF(INDIRECT("'"&amp;$Q$3&amp;"'!"&amp;$Q$7&amp;(H147+1))=1,"ON","OFF"))</f>
        <v/>
      </c>
      <c r="J147" s="87" t="str" cm="1">
        <f t="array" aca="1" ref="J147" ca="1">IF(H147="","",IFERROR((INDIRECT("'"&amp;$Q$3&amp;"'!A"&amp;(H147+1))-INDIRECT("'"&amp;$Q$3&amp;"'!A2"))*86400,""))</f>
        <v/>
      </c>
      <c r="K147" s="88" t="str">
        <f t="shared" ca="1" si="8"/>
        <v/>
      </c>
    </row>
    <row r="148" spans="1:11" x14ac:dyDescent="0.25">
      <c r="A148" s="60">
        <v>112</v>
      </c>
      <c r="B148" s="86" t="str" cm="1">
        <f t="array" aca="1" ref="B14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112),"")</f>
        <v/>
      </c>
      <c r="C148" s="86" t="str" cm="1">
        <f t="array" aca="1" ref="C148" ca="1">IF(B148="","",IF(INDIRECT("'"&amp;$Q$3&amp;"'!"&amp;$Q$6&amp;(B148+1))=1,"ON","OFF"))</f>
        <v/>
      </c>
      <c r="D148" s="87" t="str" cm="1">
        <f t="array" aca="1" ref="D148" ca="1">IF(B148="","",IFERROR((INDIRECT("'"&amp;$Q$3&amp;"'!A"&amp;(B148+1))-INDIRECT("'"&amp;$Q$3&amp;"'!A2"))*86400,""))</f>
        <v/>
      </c>
      <c r="E148" s="88" t="str">
        <f t="shared" ca="1" si="7"/>
        <v/>
      </c>
      <c r="G148" s="60">
        <v>112</v>
      </c>
      <c r="H148" s="86" t="str" cm="1">
        <f t="array" aca="1" ref="H14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112),"")</f>
        <v/>
      </c>
      <c r="I148" s="86" t="str" cm="1">
        <f t="array" aca="1" ref="I148" ca="1">IF(H148="","",IF(INDIRECT("'"&amp;$Q$3&amp;"'!"&amp;$Q$7&amp;(H148+1))=1,"ON","OFF"))</f>
        <v/>
      </c>
      <c r="J148" s="87" t="str" cm="1">
        <f t="array" aca="1" ref="J148" ca="1">IF(H148="","",IFERROR((INDIRECT("'"&amp;$Q$3&amp;"'!A"&amp;(H148+1))-INDIRECT("'"&amp;$Q$3&amp;"'!A2"))*86400,""))</f>
        <v/>
      </c>
      <c r="K148" s="88" t="str">
        <f t="shared" ca="1" si="8"/>
        <v/>
      </c>
    </row>
    <row r="149" spans="1:11" x14ac:dyDescent="0.25">
      <c r="A149" s="60">
        <v>113</v>
      </c>
      <c r="B149" s="86" t="str" cm="1">
        <f t="array" aca="1" ref="B14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113),"")</f>
        <v/>
      </c>
      <c r="C149" s="86" t="str" cm="1">
        <f t="array" aca="1" ref="C149" ca="1">IF(B149="","",IF(INDIRECT("'"&amp;$Q$3&amp;"'!"&amp;$Q$6&amp;(B149+1))=1,"ON","OFF"))</f>
        <v/>
      </c>
      <c r="D149" s="87" t="str" cm="1">
        <f t="array" aca="1" ref="D149" ca="1">IF(B149="","",IFERROR((INDIRECT("'"&amp;$Q$3&amp;"'!A"&amp;(B149+1))-INDIRECT("'"&amp;$Q$3&amp;"'!A2"))*86400,""))</f>
        <v/>
      </c>
      <c r="E149" s="88" t="str">
        <f t="shared" ca="1" si="7"/>
        <v/>
      </c>
      <c r="G149" s="60">
        <v>113</v>
      </c>
      <c r="H149" s="86" t="str" cm="1">
        <f t="array" aca="1" ref="H14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113),"")</f>
        <v/>
      </c>
      <c r="I149" s="86" t="str" cm="1">
        <f t="array" aca="1" ref="I149" ca="1">IF(H149="","",IF(INDIRECT("'"&amp;$Q$3&amp;"'!"&amp;$Q$7&amp;(H149+1))=1,"ON","OFF"))</f>
        <v/>
      </c>
      <c r="J149" s="87" t="str" cm="1">
        <f t="array" aca="1" ref="J149" ca="1">IF(H149="","",IFERROR((INDIRECT("'"&amp;$Q$3&amp;"'!A"&amp;(H149+1))-INDIRECT("'"&amp;$Q$3&amp;"'!A2"))*86400,""))</f>
        <v/>
      </c>
      <c r="K149" s="88" t="str">
        <f t="shared" ca="1" si="8"/>
        <v/>
      </c>
    </row>
    <row r="150" spans="1:11" x14ac:dyDescent="0.25">
      <c r="A150" s="60">
        <v>114</v>
      </c>
      <c r="B150" s="86" t="str" cm="1">
        <f t="array" aca="1" ref="B15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114),"")</f>
        <v/>
      </c>
      <c r="C150" s="86" t="str" cm="1">
        <f t="array" aca="1" ref="C150" ca="1">IF(B150="","",IF(INDIRECT("'"&amp;$Q$3&amp;"'!"&amp;$Q$6&amp;(B150+1))=1,"ON","OFF"))</f>
        <v/>
      </c>
      <c r="D150" s="87" t="str" cm="1">
        <f t="array" aca="1" ref="D150" ca="1">IF(B150="","",IFERROR((INDIRECT("'"&amp;$Q$3&amp;"'!A"&amp;(B150+1))-INDIRECT("'"&amp;$Q$3&amp;"'!A2"))*86400,""))</f>
        <v/>
      </c>
      <c r="E150" s="88" t="str">
        <f t="shared" ca="1" si="7"/>
        <v/>
      </c>
      <c r="G150" s="60">
        <v>114</v>
      </c>
      <c r="H150" s="86" t="str" cm="1">
        <f t="array" aca="1" ref="H15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114),"")</f>
        <v/>
      </c>
      <c r="I150" s="86" t="str" cm="1">
        <f t="array" aca="1" ref="I150" ca="1">IF(H150="","",IF(INDIRECT("'"&amp;$Q$3&amp;"'!"&amp;$Q$7&amp;(H150+1))=1,"ON","OFF"))</f>
        <v/>
      </c>
      <c r="J150" s="87" t="str" cm="1">
        <f t="array" aca="1" ref="J150" ca="1">IF(H150="","",IFERROR((INDIRECT("'"&amp;$Q$3&amp;"'!A"&amp;(H150+1))-INDIRECT("'"&amp;$Q$3&amp;"'!A2"))*86400,""))</f>
        <v/>
      </c>
      <c r="K150" s="88" t="str">
        <f t="shared" ca="1" si="8"/>
        <v/>
      </c>
    </row>
    <row r="151" spans="1:11" x14ac:dyDescent="0.25">
      <c r="A151" s="60">
        <v>115</v>
      </c>
      <c r="B151" s="86" t="str" cm="1">
        <f t="array" aca="1" ref="B15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115),"")</f>
        <v/>
      </c>
      <c r="C151" s="86" t="str" cm="1">
        <f t="array" aca="1" ref="C151" ca="1">IF(B151="","",IF(INDIRECT("'"&amp;$Q$3&amp;"'!"&amp;$Q$6&amp;(B151+1))=1,"ON","OFF"))</f>
        <v/>
      </c>
      <c r="D151" s="87" t="str" cm="1">
        <f t="array" aca="1" ref="D151" ca="1">IF(B151="","",IFERROR((INDIRECT("'"&amp;$Q$3&amp;"'!A"&amp;(B151+1))-INDIRECT("'"&amp;$Q$3&amp;"'!A2"))*86400,""))</f>
        <v/>
      </c>
      <c r="E151" s="88" t="str">
        <f t="shared" ca="1" si="7"/>
        <v/>
      </c>
      <c r="G151" s="60">
        <v>115</v>
      </c>
      <c r="H151" s="86" t="str" cm="1">
        <f t="array" aca="1" ref="H15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115),"")</f>
        <v/>
      </c>
      <c r="I151" s="86" t="str" cm="1">
        <f t="array" aca="1" ref="I151" ca="1">IF(H151="","",IF(INDIRECT("'"&amp;$Q$3&amp;"'!"&amp;$Q$7&amp;(H151+1))=1,"ON","OFF"))</f>
        <v/>
      </c>
      <c r="J151" s="87" t="str" cm="1">
        <f t="array" aca="1" ref="J151" ca="1">IF(H151="","",IFERROR((INDIRECT("'"&amp;$Q$3&amp;"'!A"&amp;(H151+1))-INDIRECT("'"&amp;$Q$3&amp;"'!A2"))*86400,""))</f>
        <v/>
      </c>
      <c r="K151" s="88" t="str">
        <f t="shared" ca="1" si="8"/>
        <v/>
      </c>
    </row>
    <row r="152" spans="1:11" x14ac:dyDescent="0.25">
      <c r="A152" s="60">
        <v>116</v>
      </c>
      <c r="B152" s="86" t="str" cm="1">
        <f t="array" aca="1" ref="B15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116),"")</f>
        <v/>
      </c>
      <c r="C152" s="86" t="str" cm="1">
        <f t="array" aca="1" ref="C152" ca="1">IF(B152="","",IF(INDIRECT("'"&amp;$Q$3&amp;"'!"&amp;$Q$6&amp;(B152+1))=1,"ON","OFF"))</f>
        <v/>
      </c>
      <c r="D152" s="87" t="str" cm="1">
        <f t="array" aca="1" ref="D152" ca="1">IF(B152="","",IFERROR((INDIRECT("'"&amp;$Q$3&amp;"'!A"&amp;(B152+1))-INDIRECT("'"&amp;$Q$3&amp;"'!A2"))*86400,""))</f>
        <v/>
      </c>
      <c r="E152" s="88" t="str">
        <f t="shared" ca="1" si="7"/>
        <v/>
      </c>
      <c r="G152" s="60">
        <v>116</v>
      </c>
      <c r="H152" s="86" t="str" cm="1">
        <f t="array" aca="1" ref="H15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116),"")</f>
        <v/>
      </c>
      <c r="I152" s="86" t="str" cm="1">
        <f t="array" aca="1" ref="I152" ca="1">IF(H152="","",IF(INDIRECT("'"&amp;$Q$3&amp;"'!"&amp;$Q$7&amp;(H152+1))=1,"ON","OFF"))</f>
        <v/>
      </c>
      <c r="J152" s="87" t="str" cm="1">
        <f t="array" aca="1" ref="J152" ca="1">IF(H152="","",IFERROR((INDIRECT("'"&amp;$Q$3&amp;"'!A"&amp;(H152+1))-INDIRECT("'"&amp;$Q$3&amp;"'!A2"))*86400,""))</f>
        <v/>
      </c>
      <c r="K152" s="88" t="str">
        <f t="shared" ca="1" si="8"/>
        <v/>
      </c>
    </row>
    <row r="153" spans="1:11" x14ac:dyDescent="0.25">
      <c r="A153" s="60">
        <v>117</v>
      </c>
      <c r="B153" s="86" t="str" cm="1">
        <f t="array" aca="1" ref="B15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117),"")</f>
        <v/>
      </c>
      <c r="C153" s="86" t="str" cm="1">
        <f t="array" aca="1" ref="C153" ca="1">IF(B153="","",IF(INDIRECT("'"&amp;$Q$3&amp;"'!"&amp;$Q$6&amp;(B153+1))=1,"ON","OFF"))</f>
        <v/>
      </c>
      <c r="D153" s="87" t="str" cm="1">
        <f t="array" aca="1" ref="D153" ca="1">IF(B153="","",IFERROR((INDIRECT("'"&amp;$Q$3&amp;"'!A"&amp;(B153+1))-INDIRECT("'"&amp;$Q$3&amp;"'!A2"))*86400,""))</f>
        <v/>
      </c>
      <c r="E153" s="88" t="str">
        <f t="shared" ca="1" si="7"/>
        <v/>
      </c>
      <c r="G153" s="60">
        <v>117</v>
      </c>
      <c r="H153" s="86" t="str" cm="1">
        <f t="array" aca="1" ref="H15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117),"")</f>
        <v/>
      </c>
      <c r="I153" s="86" t="str" cm="1">
        <f t="array" aca="1" ref="I153" ca="1">IF(H153="","",IF(INDIRECT("'"&amp;$Q$3&amp;"'!"&amp;$Q$7&amp;(H153+1))=1,"ON","OFF"))</f>
        <v/>
      </c>
      <c r="J153" s="87" t="str" cm="1">
        <f t="array" aca="1" ref="J153" ca="1">IF(H153="","",IFERROR((INDIRECT("'"&amp;$Q$3&amp;"'!A"&amp;(H153+1))-INDIRECT("'"&amp;$Q$3&amp;"'!A2"))*86400,""))</f>
        <v/>
      </c>
      <c r="K153" s="88" t="str">
        <f t="shared" ca="1" si="8"/>
        <v/>
      </c>
    </row>
    <row r="154" spans="1:11" x14ac:dyDescent="0.25">
      <c r="A154" s="60">
        <v>118</v>
      </c>
      <c r="B154" s="86" t="str" cm="1">
        <f t="array" aca="1" ref="B15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118),"")</f>
        <v/>
      </c>
      <c r="C154" s="86" t="str" cm="1">
        <f t="array" aca="1" ref="C154" ca="1">IF(B154="","",IF(INDIRECT("'"&amp;$Q$3&amp;"'!"&amp;$Q$6&amp;(B154+1))=1,"ON","OFF"))</f>
        <v/>
      </c>
      <c r="D154" s="87" t="str" cm="1">
        <f t="array" aca="1" ref="D154" ca="1">IF(B154="","",IFERROR((INDIRECT("'"&amp;$Q$3&amp;"'!A"&amp;(B154+1))-INDIRECT("'"&amp;$Q$3&amp;"'!A2"))*86400,""))</f>
        <v/>
      </c>
      <c r="E154" s="88" t="str">
        <f t="shared" ca="1" si="7"/>
        <v/>
      </c>
      <c r="G154" s="60">
        <v>118</v>
      </c>
      <c r="H154" s="86" t="str" cm="1">
        <f t="array" aca="1" ref="H15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118),"")</f>
        <v/>
      </c>
      <c r="I154" s="86" t="str" cm="1">
        <f t="array" aca="1" ref="I154" ca="1">IF(H154="","",IF(INDIRECT("'"&amp;$Q$3&amp;"'!"&amp;$Q$7&amp;(H154+1))=1,"ON","OFF"))</f>
        <v/>
      </c>
      <c r="J154" s="87" t="str" cm="1">
        <f t="array" aca="1" ref="J154" ca="1">IF(H154="","",IFERROR((INDIRECT("'"&amp;$Q$3&amp;"'!A"&amp;(H154+1))-INDIRECT("'"&amp;$Q$3&amp;"'!A2"))*86400,""))</f>
        <v/>
      </c>
      <c r="K154" s="88" t="str">
        <f t="shared" ca="1" si="8"/>
        <v/>
      </c>
    </row>
    <row r="155" spans="1:11" x14ac:dyDescent="0.25">
      <c r="A155" s="60">
        <v>119</v>
      </c>
      <c r="B155" s="86" t="str" cm="1">
        <f t="array" aca="1" ref="B15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119),"")</f>
        <v/>
      </c>
      <c r="C155" s="86" t="str" cm="1">
        <f t="array" aca="1" ref="C155" ca="1">IF(B155="","",IF(INDIRECT("'"&amp;$Q$3&amp;"'!"&amp;$Q$6&amp;(B155+1))=1,"ON","OFF"))</f>
        <v/>
      </c>
      <c r="D155" s="87" t="str" cm="1">
        <f t="array" aca="1" ref="D155" ca="1">IF(B155="","",IFERROR((INDIRECT("'"&amp;$Q$3&amp;"'!A"&amp;(B155+1))-INDIRECT("'"&amp;$Q$3&amp;"'!A2"))*86400,""))</f>
        <v/>
      </c>
      <c r="E155" s="88" t="str">
        <f t="shared" ca="1" si="7"/>
        <v/>
      </c>
      <c r="G155" s="60">
        <v>119</v>
      </c>
      <c r="H155" s="86" t="str" cm="1">
        <f t="array" aca="1" ref="H15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119),"")</f>
        <v/>
      </c>
      <c r="I155" s="86" t="str" cm="1">
        <f t="array" aca="1" ref="I155" ca="1">IF(H155="","",IF(INDIRECT("'"&amp;$Q$3&amp;"'!"&amp;$Q$7&amp;(H155+1))=1,"ON","OFF"))</f>
        <v/>
      </c>
      <c r="J155" s="87" t="str" cm="1">
        <f t="array" aca="1" ref="J155" ca="1">IF(H155="","",IFERROR((INDIRECT("'"&amp;$Q$3&amp;"'!A"&amp;(H155+1))-INDIRECT("'"&amp;$Q$3&amp;"'!A2"))*86400,""))</f>
        <v/>
      </c>
      <c r="K155" s="88" t="str">
        <f t="shared" ca="1" si="8"/>
        <v/>
      </c>
    </row>
    <row r="156" spans="1:11" x14ac:dyDescent="0.25">
      <c r="A156" s="60">
        <v>120</v>
      </c>
      <c r="B156" s="86" t="str" cm="1">
        <f t="array" aca="1" ref="B15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120),"")</f>
        <v/>
      </c>
      <c r="C156" s="86" t="str" cm="1">
        <f t="array" aca="1" ref="C156" ca="1">IF(B156="","",IF(INDIRECT("'"&amp;$Q$3&amp;"'!"&amp;$Q$6&amp;(B156+1))=1,"ON","OFF"))</f>
        <v/>
      </c>
      <c r="D156" s="87" t="str" cm="1">
        <f t="array" aca="1" ref="D156" ca="1">IF(B156="","",IFERROR((INDIRECT("'"&amp;$Q$3&amp;"'!A"&amp;(B156+1))-INDIRECT("'"&amp;$Q$3&amp;"'!A2"))*86400,""))</f>
        <v/>
      </c>
      <c r="E156" s="88" t="str">
        <f t="shared" ca="1" si="7"/>
        <v/>
      </c>
      <c r="G156" s="60">
        <v>120</v>
      </c>
      <c r="H156" s="86" t="str" cm="1">
        <f t="array" aca="1" ref="H15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120),"")</f>
        <v/>
      </c>
      <c r="I156" s="86" t="str" cm="1">
        <f t="array" aca="1" ref="I156" ca="1">IF(H156="","",IF(INDIRECT("'"&amp;$Q$3&amp;"'!"&amp;$Q$7&amp;(H156+1))=1,"ON","OFF"))</f>
        <v/>
      </c>
      <c r="J156" s="87" t="str" cm="1">
        <f t="array" aca="1" ref="J156" ca="1">IF(H156="","",IFERROR((INDIRECT("'"&amp;$Q$3&amp;"'!A"&amp;(H156+1))-INDIRECT("'"&amp;$Q$3&amp;"'!A2"))*86400,""))</f>
        <v/>
      </c>
      <c r="K156" s="88" t="str">
        <f t="shared" ca="1" si="8"/>
        <v/>
      </c>
    </row>
    <row r="157" spans="1:11" x14ac:dyDescent="0.25">
      <c r="A157" s="60">
        <v>121</v>
      </c>
      <c r="B157" s="86" t="str" cm="1">
        <f t="array" aca="1" ref="B15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121),"")</f>
        <v/>
      </c>
      <c r="C157" s="86" t="str" cm="1">
        <f t="array" aca="1" ref="C157" ca="1">IF(B157="","",IF(INDIRECT("'"&amp;$Q$3&amp;"'!"&amp;$Q$6&amp;(B157+1))=1,"ON","OFF"))</f>
        <v/>
      </c>
      <c r="D157" s="87" t="str" cm="1">
        <f t="array" aca="1" ref="D157" ca="1">IF(B157="","",IFERROR((INDIRECT("'"&amp;$Q$3&amp;"'!A"&amp;(B157+1))-INDIRECT("'"&amp;$Q$3&amp;"'!A2"))*86400,""))</f>
        <v/>
      </c>
      <c r="E157" s="88" t="str">
        <f t="shared" ca="1" si="7"/>
        <v/>
      </c>
      <c r="G157" s="60">
        <v>121</v>
      </c>
      <c r="H157" s="86" t="str" cm="1">
        <f t="array" aca="1" ref="H15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121),"")</f>
        <v/>
      </c>
      <c r="I157" s="86" t="str" cm="1">
        <f t="array" aca="1" ref="I157" ca="1">IF(H157="","",IF(INDIRECT("'"&amp;$Q$3&amp;"'!"&amp;$Q$7&amp;(H157+1))=1,"ON","OFF"))</f>
        <v/>
      </c>
      <c r="J157" s="87" t="str" cm="1">
        <f t="array" aca="1" ref="J157" ca="1">IF(H157="","",IFERROR((INDIRECT("'"&amp;$Q$3&amp;"'!A"&amp;(H157+1))-INDIRECT("'"&amp;$Q$3&amp;"'!A2"))*86400,""))</f>
        <v/>
      </c>
      <c r="K157" s="88" t="str">
        <f t="shared" ca="1" si="8"/>
        <v/>
      </c>
    </row>
    <row r="158" spans="1:11" x14ac:dyDescent="0.25">
      <c r="A158" s="60">
        <v>122</v>
      </c>
      <c r="B158" s="86" t="str" cm="1">
        <f t="array" aca="1" ref="B15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122),"")</f>
        <v/>
      </c>
      <c r="C158" s="86" t="str" cm="1">
        <f t="array" aca="1" ref="C158" ca="1">IF(B158="","",IF(INDIRECT("'"&amp;$Q$3&amp;"'!"&amp;$Q$6&amp;(B158+1))=1,"ON","OFF"))</f>
        <v/>
      </c>
      <c r="D158" s="87" t="str" cm="1">
        <f t="array" aca="1" ref="D158" ca="1">IF(B158="","",IFERROR((INDIRECT("'"&amp;$Q$3&amp;"'!A"&amp;(B158+1))-INDIRECT("'"&amp;$Q$3&amp;"'!A2"))*86400,""))</f>
        <v/>
      </c>
      <c r="E158" s="88" t="str">
        <f t="shared" ca="1" si="7"/>
        <v/>
      </c>
      <c r="G158" s="60">
        <v>122</v>
      </c>
      <c r="H158" s="86" t="str" cm="1">
        <f t="array" aca="1" ref="H15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122),"")</f>
        <v/>
      </c>
      <c r="I158" s="86" t="str" cm="1">
        <f t="array" aca="1" ref="I158" ca="1">IF(H158="","",IF(INDIRECT("'"&amp;$Q$3&amp;"'!"&amp;$Q$7&amp;(H158+1))=1,"ON","OFF"))</f>
        <v/>
      </c>
      <c r="J158" s="87" t="str" cm="1">
        <f t="array" aca="1" ref="J158" ca="1">IF(H158="","",IFERROR((INDIRECT("'"&amp;$Q$3&amp;"'!A"&amp;(H158+1))-INDIRECT("'"&amp;$Q$3&amp;"'!A2"))*86400,""))</f>
        <v/>
      </c>
      <c r="K158" s="88" t="str">
        <f t="shared" ca="1" si="8"/>
        <v/>
      </c>
    </row>
    <row r="159" spans="1:11" x14ac:dyDescent="0.25">
      <c r="A159" s="60">
        <v>123</v>
      </c>
      <c r="B159" s="86" t="str" cm="1">
        <f t="array" aca="1" ref="B15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123),"")</f>
        <v/>
      </c>
      <c r="C159" s="86" t="str" cm="1">
        <f t="array" aca="1" ref="C159" ca="1">IF(B159="","",IF(INDIRECT("'"&amp;$Q$3&amp;"'!"&amp;$Q$6&amp;(B159+1))=1,"ON","OFF"))</f>
        <v/>
      </c>
      <c r="D159" s="87" t="str" cm="1">
        <f t="array" aca="1" ref="D159" ca="1">IF(B159="","",IFERROR((INDIRECT("'"&amp;$Q$3&amp;"'!A"&amp;(B159+1))-INDIRECT("'"&amp;$Q$3&amp;"'!A2"))*86400,""))</f>
        <v/>
      </c>
      <c r="E159" s="88" t="str">
        <f t="shared" ca="1" si="7"/>
        <v/>
      </c>
      <c r="G159" s="60">
        <v>123</v>
      </c>
      <c r="H159" s="86" t="str" cm="1">
        <f t="array" aca="1" ref="H15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123),"")</f>
        <v/>
      </c>
      <c r="I159" s="86" t="str" cm="1">
        <f t="array" aca="1" ref="I159" ca="1">IF(H159="","",IF(INDIRECT("'"&amp;$Q$3&amp;"'!"&amp;$Q$7&amp;(H159+1))=1,"ON","OFF"))</f>
        <v/>
      </c>
      <c r="J159" s="87" t="str" cm="1">
        <f t="array" aca="1" ref="J159" ca="1">IF(H159="","",IFERROR((INDIRECT("'"&amp;$Q$3&amp;"'!A"&amp;(H159+1))-INDIRECT("'"&amp;$Q$3&amp;"'!A2"))*86400,""))</f>
        <v/>
      </c>
      <c r="K159" s="88" t="str">
        <f t="shared" ca="1" si="8"/>
        <v/>
      </c>
    </row>
    <row r="160" spans="1:11" x14ac:dyDescent="0.25">
      <c r="A160" s="60">
        <v>124</v>
      </c>
      <c r="B160" s="86" t="str" cm="1">
        <f t="array" aca="1" ref="B16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124),"")</f>
        <v/>
      </c>
      <c r="C160" s="86" t="str" cm="1">
        <f t="array" aca="1" ref="C160" ca="1">IF(B160="","",IF(INDIRECT("'"&amp;$Q$3&amp;"'!"&amp;$Q$6&amp;(B160+1))=1,"ON","OFF"))</f>
        <v/>
      </c>
      <c r="D160" s="87" t="str" cm="1">
        <f t="array" aca="1" ref="D160" ca="1">IF(B160="","",IFERROR((INDIRECT("'"&amp;$Q$3&amp;"'!A"&amp;(B160+1))-INDIRECT("'"&amp;$Q$3&amp;"'!A2"))*86400,""))</f>
        <v/>
      </c>
      <c r="E160" s="88" t="str">
        <f t="shared" ca="1" si="7"/>
        <v/>
      </c>
      <c r="G160" s="60">
        <v>124</v>
      </c>
      <c r="H160" s="86" t="str" cm="1">
        <f t="array" aca="1" ref="H16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124),"")</f>
        <v/>
      </c>
      <c r="I160" s="86" t="str" cm="1">
        <f t="array" aca="1" ref="I160" ca="1">IF(H160="","",IF(INDIRECT("'"&amp;$Q$3&amp;"'!"&amp;$Q$7&amp;(H160+1))=1,"ON","OFF"))</f>
        <v/>
      </c>
      <c r="J160" s="87" t="str" cm="1">
        <f t="array" aca="1" ref="J160" ca="1">IF(H160="","",IFERROR((INDIRECT("'"&amp;$Q$3&amp;"'!A"&amp;(H160+1))-INDIRECT("'"&amp;$Q$3&amp;"'!A2"))*86400,""))</f>
        <v/>
      </c>
      <c r="K160" s="88" t="str">
        <f t="shared" ca="1" si="8"/>
        <v/>
      </c>
    </row>
    <row r="161" spans="1:11" x14ac:dyDescent="0.25">
      <c r="A161" s="60">
        <v>125</v>
      </c>
      <c r="B161" s="86" t="str" cm="1">
        <f t="array" aca="1" ref="B16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125),"")</f>
        <v/>
      </c>
      <c r="C161" s="86" t="str" cm="1">
        <f t="array" aca="1" ref="C161" ca="1">IF(B161="","",IF(INDIRECT("'"&amp;$Q$3&amp;"'!"&amp;$Q$6&amp;(B161+1))=1,"ON","OFF"))</f>
        <v/>
      </c>
      <c r="D161" s="87" t="str" cm="1">
        <f t="array" aca="1" ref="D161" ca="1">IF(B161="","",IFERROR((INDIRECT("'"&amp;$Q$3&amp;"'!A"&amp;(B161+1))-INDIRECT("'"&amp;$Q$3&amp;"'!A2"))*86400,""))</f>
        <v/>
      </c>
      <c r="E161" s="88" t="str">
        <f t="shared" ca="1" si="7"/>
        <v/>
      </c>
      <c r="G161" s="60">
        <v>125</v>
      </c>
      <c r="H161" s="86" t="str" cm="1">
        <f t="array" aca="1" ref="H16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125),"")</f>
        <v/>
      </c>
      <c r="I161" s="86" t="str" cm="1">
        <f t="array" aca="1" ref="I161" ca="1">IF(H161="","",IF(INDIRECT("'"&amp;$Q$3&amp;"'!"&amp;$Q$7&amp;(H161+1))=1,"ON","OFF"))</f>
        <v/>
      </c>
      <c r="J161" s="87" t="str" cm="1">
        <f t="array" aca="1" ref="J161" ca="1">IF(H161="","",IFERROR((INDIRECT("'"&amp;$Q$3&amp;"'!A"&amp;(H161+1))-INDIRECT("'"&amp;$Q$3&amp;"'!A2"))*86400,""))</f>
        <v/>
      </c>
      <c r="K161" s="88" t="str">
        <f t="shared" ca="1" si="8"/>
        <v/>
      </c>
    </row>
    <row r="162" spans="1:11" x14ac:dyDescent="0.25">
      <c r="A162" s="60">
        <v>126</v>
      </c>
      <c r="B162" s="86" t="str" cm="1">
        <f t="array" aca="1" ref="B16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126),"")</f>
        <v/>
      </c>
      <c r="C162" s="86" t="str" cm="1">
        <f t="array" aca="1" ref="C162" ca="1">IF(B162="","",IF(INDIRECT("'"&amp;$Q$3&amp;"'!"&amp;$Q$6&amp;(B162+1))=1,"ON","OFF"))</f>
        <v/>
      </c>
      <c r="D162" s="87" t="str" cm="1">
        <f t="array" aca="1" ref="D162" ca="1">IF(B162="","",IFERROR((INDIRECT("'"&amp;$Q$3&amp;"'!A"&amp;(B162+1))-INDIRECT("'"&amp;$Q$3&amp;"'!A2"))*86400,""))</f>
        <v/>
      </c>
      <c r="E162" s="88" t="str">
        <f t="shared" ca="1" si="7"/>
        <v/>
      </c>
      <c r="G162" s="60">
        <v>126</v>
      </c>
      <c r="H162" s="86" t="str" cm="1">
        <f t="array" aca="1" ref="H16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126),"")</f>
        <v/>
      </c>
      <c r="I162" s="86" t="str" cm="1">
        <f t="array" aca="1" ref="I162" ca="1">IF(H162="","",IF(INDIRECT("'"&amp;$Q$3&amp;"'!"&amp;$Q$7&amp;(H162+1))=1,"ON","OFF"))</f>
        <v/>
      </c>
      <c r="J162" s="87" t="str" cm="1">
        <f t="array" aca="1" ref="J162" ca="1">IF(H162="","",IFERROR((INDIRECT("'"&amp;$Q$3&amp;"'!A"&amp;(H162+1))-INDIRECT("'"&amp;$Q$3&amp;"'!A2"))*86400,""))</f>
        <v/>
      </c>
      <c r="K162" s="88" t="str">
        <f t="shared" ca="1" si="8"/>
        <v/>
      </c>
    </row>
    <row r="163" spans="1:11" x14ac:dyDescent="0.25">
      <c r="A163" s="60">
        <v>127</v>
      </c>
      <c r="B163" s="86" t="str" cm="1">
        <f t="array" aca="1" ref="B16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127),"")</f>
        <v/>
      </c>
      <c r="C163" s="86" t="str" cm="1">
        <f t="array" aca="1" ref="C163" ca="1">IF(B163="","",IF(INDIRECT("'"&amp;$Q$3&amp;"'!"&amp;$Q$6&amp;(B163+1))=1,"ON","OFF"))</f>
        <v/>
      </c>
      <c r="D163" s="87" t="str" cm="1">
        <f t="array" aca="1" ref="D163" ca="1">IF(B163="","",IFERROR((INDIRECT("'"&amp;$Q$3&amp;"'!A"&amp;(B163+1))-INDIRECT("'"&amp;$Q$3&amp;"'!A2"))*86400,""))</f>
        <v/>
      </c>
      <c r="E163" s="88" t="str">
        <f t="shared" ca="1" si="7"/>
        <v/>
      </c>
      <c r="G163" s="60">
        <v>127</v>
      </c>
      <c r="H163" s="86" t="str" cm="1">
        <f t="array" aca="1" ref="H16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127),"")</f>
        <v/>
      </c>
      <c r="I163" s="86" t="str" cm="1">
        <f t="array" aca="1" ref="I163" ca="1">IF(H163="","",IF(INDIRECT("'"&amp;$Q$3&amp;"'!"&amp;$Q$7&amp;(H163+1))=1,"ON","OFF"))</f>
        <v/>
      </c>
      <c r="J163" s="87" t="str" cm="1">
        <f t="array" aca="1" ref="J163" ca="1">IF(H163="","",IFERROR((INDIRECT("'"&amp;$Q$3&amp;"'!A"&amp;(H163+1))-INDIRECT("'"&amp;$Q$3&amp;"'!A2"))*86400,""))</f>
        <v/>
      </c>
      <c r="K163" s="88" t="str">
        <f t="shared" ca="1" si="8"/>
        <v/>
      </c>
    </row>
    <row r="164" spans="1:11" x14ac:dyDescent="0.25">
      <c r="A164" s="60">
        <v>128</v>
      </c>
      <c r="B164" s="86" t="str" cm="1">
        <f t="array" aca="1" ref="B16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128),"")</f>
        <v/>
      </c>
      <c r="C164" s="86" t="str" cm="1">
        <f t="array" aca="1" ref="C164" ca="1">IF(B164="","",IF(INDIRECT("'"&amp;$Q$3&amp;"'!"&amp;$Q$6&amp;(B164+1))=1,"ON","OFF"))</f>
        <v/>
      </c>
      <c r="D164" s="87" t="str" cm="1">
        <f t="array" aca="1" ref="D164" ca="1">IF(B164="","",IFERROR((INDIRECT("'"&amp;$Q$3&amp;"'!A"&amp;(B164+1))-INDIRECT("'"&amp;$Q$3&amp;"'!A2"))*86400,""))</f>
        <v/>
      </c>
      <c r="E164" s="88" t="str">
        <f t="shared" ca="1" si="7"/>
        <v/>
      </c>
      <c r="G164" s="60">
        <v>128</v>
      </c>
      <c r="H164" s="86" t="str" cm="1">
        <f t="array" aca="1" ref="H16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128),"")</f>
        <v/>
      </c>
      <c r="I164" s="86" t="str" cm="1">
        <f t="array" aca="1" ref="I164" ca="1">IF(H164="","",IF(INDIRECT("'"&amp;$Q$3&amp;"'!"&amp;$Q$7&amp;(H164+1))=1,"ON","OFF"))</f>
        <v/>
      </c>
      <c r="J164" s="87" t="str" cm="1">
        <f t="array" aca="1" ref="J164" ca="1">IF(H164="","",IFERROR((INDIRECT("'"&amp;$Q$3&amp;"'!A"&amp;(H164+1))-INDIRECT("'"&amp;$Q$3&amp;"'!A2"))*86400,""))</f>
        <v/>
      </c>
      <c r="K164" s="88" t="str">
        <f t="shared" ca="1" si="8"/>
        <v/>
      </c>
    </row>
    <row r="165" spans="1:11" x14ac:dyDescent="0.25">
      <c r="A165" s="60">
        <v>129</v>
      </c>
      <c r="B165" s="86" t="str" cm="1">
        <f t="array" aca="1" ref="B16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129),"")</f>
        <v/>
      </c>
      <c r="C165" s="86" t="str" cm="1">
        <f t="array" aca="1" ref="C165" ca="1">IF(B165="","",IF(INDIRECT("'"&amp;$Q$3&amp;"'!"&amp;$Q$6&amp;(B165+1))=1,"ON","OFF"))</f>
        <v/>
      </c>
      <c r="D165" s="87" t="str" cm="1">
        <f t="array" aca="1" ref="D165" ca="1">IF(B165="","",IFERROR((INDIRECT("'"&amp;$Q$3&amp;"'!A"&amp;(B165+1))-INDIRECT("'"&amp;$Q$3&amp;"'!A2"))*86400,""))</f>
        <v/>
      </c>
      <c r="E165" s="88" t="str">
        <f t="shared" ref="E165:E196" ca="1" si="9">IF(OR(B165="",B166=""),"",ROUND((D166-D165)*1000,0))</f>
        <v/>
      </c>
      <c r="G165" s="60">
        <v>129</v>
      </c>
      <c r="H165" s="86" t="str" cm="1">
        <f t="array" aca="1" ref="H16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129),"")</f>
        <v/>
      </c>
      <c r="I165" s="86" t="str" cm="1">
        <f t="array" aca="1" ref="I165" ca="1">IF(H165="","",IF(INDIRECT("'"&amp;$Q$3&amp;"'!"&amp;$Q$7&amp;(H165+1))=1,"ON","OFF"))</f>
        <v/>
      </c>
      <c r="J165" s="87" t="str" cm="1">
        <f t="array" aca="1" ref="J165" ca="1">IF(H165="","",IFERROR((INDIRECT("'"&amp;$Q$3&amp;"'!A"&amp;(H165+1))-INDIRECT("'"&amp;$Q$3&amp;"'!A2"))*86400,""))</f>
        <v/>
      </c>
      <c r="K165" s="88" t="str">
        <f t="shared" ref="K165:K196" ca="1" si="10">IF(OR(H165="",H166=""),"",ROUND((J166-J165)*1000,0))</f>
        <v/>
      </c>
    </row>
    <row r="166" spans="1:11" x14ac:dyDescent="0.25">
      <c r="A166" s="60">
        <v>130</v>
      </c>
      <c r="B166" s="86" t="str" cm="1">
        <f t="array" aca="1" ref="B16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130),"")</f>
        <v/>
      </c>
      <c r="C166" s="86" t="str" cm="1">
        <f t="array" aca="1" ref="C166" ca="1">IF(B166="","",IF(INDIRECT("'"&amp;$Q$3&amp;"'!"&amp;$Q$6&amp;(B166+1))=1,"ON","OFF"))</f>
        <v/>
      </c>
      <c r="D166" s="87" t="str" cm="1">
        <f t="array" aca="1" ref="D166" ca="1">IF(B166="","",IFERROR((INDIRECT("'"&amp;$Q$3&amp;"'!A"&amp;(B166+1))-INDIRECT("'"&amp;$Q$3&amp;"'!A2"))*86400,""))</f>
        <v/>
      </c>
      <c r="E166" s="88" t="str">
        <f t="shared" ca="1" si="9"/>
        <v/>
      </c>
      <c r="G166" s="60">
        <v>130</v>
      </c>
      <c r="H166" s="86" t="str" cm="1">
        <f t="array" aca="1" ref="H16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130),"")</f>
        <v/>
      </c>
      <c r="I166" s="86" t="str" cm="1">
        <f t="array" aca="1" ref="I166" ca="1">IF(H166="","",IF(INDIRECT("'"&amp;$Q$3&amp;"'!"&amp;$Q$7&amp;(H166+1))=1,"ON","OFF"))</f>
        <v/>
      </c>
      <c r="J166" s="87" t="str" cm="1">
        <f t="array" aca="1" ref="J166" ca="1">IF(H166="","",IFERROR((INDIRECT("'"&amp;$Q$3&amp;"'!A"&amp;(H166+1))-INDIRECT("'"&amp;$Q$3&amp;"'!A2"))*86400,""))</f>
        <v/>
      </c>
      <c r="K166" s="88" t="str">
        <f t="shared" ca="1" si="10"/>
        <v/>
      </c>
    </row>
    <row r="167" spans="1:11" x14ac:dyDescent="0.25">
      <c r="A167" s="60">
        <v>131</v>
      </c>
      <c r="B167" s="86" t="str" cm="1">
        <f t="array" aca="1" ref="B16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131),"")</f>
        <v/>
      </c>
      <c r="C167" s="86" t="str" cm="1">
        <f t="array" aca="1" ref="C167" ca="1">IF(B167="","",IF(INDIRECT("'"&amp;$Q$3&amp;"'!"&amp;$Q$6&amp;(B167+1))=1,"ON","OFF"))</f>
        <v/>
      </c>
      <c r="D167" s="87" t="str" cm="1">
        <f t="array" aca="1" ref="D167" ca="1">IF(B167="","",IFERROR((INDIRECT("'"&amp;$Q$3&amp;"'!A"&amp;(B167+1))-INDIRECT("'"&amp;$Q$3&amp;"'!A2"))*86400,""))</f>
        <v/>
      </c>
      <c r="E167" s="88" t="str">
        <f t="shared" ca="1" si="9"/>
        <v/>
      </c>
      <c r="G167" s="60">
        <v>131</v>
      </c>
      <c r="H167" s="86" t="str" cm="1">
        <f t="array" aca="1" ref="H16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131),"")</f>
        <v/>
      </c>
      <c r="I167" s="86" t="str" cm="1">
        <f t="array" aca="1" ref="I167" ca="1">IF(H167="","",IF(INDIRECT("'"&amp;$Q$3&amp;"'!"&amp;$Q$7&amp;(H167+1))=1,"ON","OFF"))</f>
        <v/>
      </c>
      <c r="J167" s="87" t="str" cm="1">
        <f t="array" aca="1" ref="J167" ca="1">IF(H167="","",IFERROR((INDIRECT("'"&amp;$Q$3&amp;"'!A"&amp;(H167+1))-INDIRECT("'"&amp;$Q$3&amp;"'!A2"))*86400,""))</f>
        <v/>
      </c>
      <c r="K167" s="88" t="str">
        <f t="shared" ca="1" si="10"/>
        <v/>
      </c>
    </row>
    <row r="168" spans="1:11" x14ac:dyDescent="0.25">
      <c r="A168" s="60">
        <v>132</v>
      </c>
      <c r="B168" s="86" t="str" cm="1">
        <f t="array" aca="1" ref="B16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132),"")</f>
        <v/>
      </c>
      <c r="C168" s="86" t="str" cm="1">
        <f t="array" aca="1" ref="C168" ca="1">IF(B168="","",IF(INDIRECT("'"&amp;$Q$3&amp;"'!"&amp;$Q$6&amp;(B168+1))=1,"ON","OFF"))</f>
        <v/>
      </c>
      <c r="D168" s="87" t="str" cm="1">
        <f t="array" aca="1" ref="D168" ca="1">IF(B168="","",IFERROR((INDIRECT("'"&amp;$Q$3&amp;"'!A"&amp;(B168+1))-INDIRECT("'"&amp;$Q$3&amp;"'!A2"))*86400,""))</f>
        <v/>
      </c>
      <c r="E168" s="88" t="str">
        <f t="shared" ca="1" si="9"/>
        <v/>
      </c>
      <c r="G168" s="60">
        <v>132</v>
      </c>
      <c r="H168" s="86" t="str" cm="1">
        <f t="array" aca="1" ref="H16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132),"")</f>
        <v/>
      </c>
      <c r="I168" s="86" t="str" cm="1">
        <f t="array" aca="1" ref="I168" ca="1">IF(H168="","",IF(INDIRECT("'"&amp;$Q$3&amp;"'!"&amp;$Q$7&amp;(H168+1))=1,"ON","OFF"))</f>
        <v/>
      </c>
      <c r="J168" s="87" t="str" cm="1">
        <f t="array" aca="1" ref="J168" ca="1">IF(H168="","",IFERROR((INDIRECT("'"&amp;$Q$3&amp;"'!A"&amp;(H168+1))-INDIRECT("'"&amp;$Q$3&amp;"'!A2"))*86400,""))</f>
        <v/>
      </c>
      <c r="K168" s="88" t="str">
        <f t="shared" ca="1" si="10"/>
        <v/>
      </c>
    </row>
    <row r="169" spans="1:11" x14ac:dyDescent="0.25">
      <c r="A169" s="60">
        <v>133</v>
      </c>
      <c r="B169" s="86" t="str" cm="1">
        <f t="array" aca="1" ref="B16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133),"")</f>
        <v/>
      </c>
      <c r="C169" s="86" t="str" cm="1">
        <f t="array" aca="1" ref="C169" ca="1">IF(B169="","",IF(INDIRECT("'"&amp;$Q$3&amp;"'!"&amp;$Q$6&amp;(B169+1))=1,"ON","OFF"))</f>
        <v/>
      </c>
      <c r="D169" s="87" t="str" cm="1">
        <f t="array" aca="1" ref="D169" ca="1">IF(B169="","",IFERROR((INDIRECT("'"&amp;$Q$3&amp;"'!A"&amp;(B169+1))-INDIRECT("'"&amp;$Q$3&amp;"'!A2"))*86400,""))</f>
        <v/>
      </c>
      <c r="E169" s="88" t="str">
        <f t="shared" ca="1" si="9"/>
        <v/>
      </c>
      <c r="G169" s="60">
        <v>133</v>
      </c>
      <c r="H169" s="86" t="str" cm="1">
        <f t="array" aca="1" ref="H16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133),"")</f>
        <v/>
      </c>
      <c r="I169" s="86" t="str" cm="1">
        <f t="array" aca="1" ref="I169" ca="1">IF(H169="","",IF(INDIRECT("'"&amp;$Q$3&amp;"'!"&amp;$Q$7&amp;(H169+1))=1,"ON","OFF"))</f>
        <v/>
      </c>
      <c r="J169" s="87" t="str" cm="1">
        <f t="array" aca="1" ref="J169" ca="1">IF(H169="","",IFERROR((INDIRECT("'"&amp;$Q$3&amp;"'!A"&amp;(H169+1))-INDIRECT("'"&amp;$Q$3&amp;"'!A2"))*86400,""))</f>
        <v/>
      </c>
      <c r="K169" s="88" t="str">
        <f t="shared" ca="1" si="10"/>
        <v/>
      </c>
    </row>
    <row r="170" spans="1:11" x14ac:dyDescent="0.25">
      <c r="A170" s="60">
        <v>134</v>
      </c>
      <c r="B170" s="86" t="str" cm="1">
        <f t="array" aca="1" ref="B17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134),"")</f>
        <v/>
      </c>
      <c r="C170" s="86" t="str" cm="1">
        <f t="array" aca="1" ref="C170" ca="1">IF(B170="","",IF(INDIRECT("'"&amp;$Q$3&amp;"'!"&amp;$Q$6&amp;(B170+1))=1,"ON","OFF"))</f>
        <v/>
      </c>
      <c r="D170" s="87" t="str" cm="1">
        <f t="array" aca="1" ref="D170" ca="1">IF(B170="","",IFERROR((INDIRECT("'"&amp;$Q$3&amp;"'!A"&amp;(B170+1))-INDIRECT("'"&amp;$Q$3&amp;"'!A2"))*86400,""))</f>
        <v/>
      </c>
      <c r="E170" s="88" t="str">
        <f t="shared" ca="1" si="9"/>
        <v/>
      </c>
      <c r="G170" s="60">
        <v>134</v>
      </c>
      <c r="H170" s="86" t="str" cm="1">
        <f t="array" aca="1" ref="H17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134),"")</f>
        <v/>
      </c>
      <c r="I170" s="86" t="str" cm="1">
        <f t="array" aca="1" ref="I170" ca="1">IF(H170="","",IF(INDIRECT("'"&amp;$Q$3&amp;"'!"&amp;$Q$7&amp;(H170+1))=1,"ON","OFF"))</f>
        <v/>
      </c>
      <c r="J170" s="87" t="str" cm="1">
        <f t="array" aca="1" ref="J170" ca="1">IF(H170="","",IFERROR((INDIRECT("'"&amp;$Q$3&amp;"'!A"&amp;(H170+1))-INDIRECT("'"&amp;$Q$3&amp;"'!A2"))*86400,""))</f>
        <v/>
      </c>
      <c r="K170" s="88" t="str">
        <f t="shared" ca="1" si="10"/>
        <v/>
      </c>
    </row>
    <row r="171" spans="1:11" x14ac:dyDescent="0.25">
      <c r="A171" s="60">
        <v>135</v>
      </c>
      <c r="B171" s="86" t="str" cm="1">
        <f t="array" aca="1" ref="B17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135),"")</f>
        <v/>
      </c>
      <c r="C171" s="86" t="str" cm="1">
        <f t="array" aca="1" ref="C171" ca="1">IF(B171="","",IF(INDIRECT("'"&amp;$Q$3&amp;"'!"&amp;$Q$6&amp;(B171+1))=1,"ON","OFF"))</f>
        <v/>
      </c>
      <c r="D171" s="87" t="str" cm="1">
        <f t="array" aca="1" ref="D171" ca="1">IF(B171="","",IFERROR((INDIRECT("'"&amp;$Q$3&amp;"'!A"&amp;(B171+1))-INDIRECT("'"&amp;$Q$3&amp;"'!A2"))*86400,""))</f>
        <v/>
      </c>
      <c r="E171" s="88" t="str">
        <f t="shared" ca="1" si="9"/>
        <v/>
      </c>
      <c r="G171" s="60">
        <v>135</v>
      </c>
      <c r="H171" s="86" t="str" cm="1">
        <f t="array" aca="1" ref="H17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135),"")</f>
        <v/>
      </c>
      <c r="I171" s="86" t="str" cm="1">
        <f t="array" aca="1" ref="I171" ca="1">IF(H171="","",IF(INDIRECT("'"&amp;$Q$3&amp;"'!"&amp;$Q$7&amp;(H171+1))=1,"ON","OFF"))</f>
        <v/>
      </c>
      <c r="J171" s="87" t="str" cm="1">
        <f t="array" aca="1" ref="J171" ca="1">IF(H171="","",IFERROR((INDIRECT("'"&amp;$Q$3&amp;"'!A"&amp;(H171+1))-INDIRECT("'"&amp;$Q$3&amp;"'!A2"))*86400,""))</f>
        <v/>
      </c>
      <c r="K171" s="88" t="str">
        <f t="shared" ca="1" si="10"/>
        <v/>
      </c>
    </row>
    <row r="172" spans="1:11" x14ac:dyDescent="0.25">
      <c r="A172" s="60">
        <v>136</v>
      </c>
      <c r="B172" s="86" t="str" cm="1">
        <f t="array" aca="1" ref="B17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136),"")</f>
        <v/>
      </c>
      <c r="C172" s="86" t="str" cm="1">
        <f t="array" aca="1" ref="C172" ca="1">IF(B172="","",IF(INDIRECT("'"&amp;$Q$3&amp;"'!"&amp;$Q$6&amp;(B172+1))=1,"ON","OFF"))</f>
        <v/>
      </c>
      <c r="D172" s="87" t="str" cm="1">
        <f t="array" aca="1" ref="D172" ca="1">IF(B172="","",IFERROR((INDIRECT("'"&amp;$Q$3&amp;"'!A"&amp;(B172+1))-INDIRECT("'"&amp;$Q$3&amp;"'!A2"))*86400,""))</f>
        <v/>
      </c>
      <c r="E172" s="88" t="str">
        <f t="shared" ca="1" si="9"/>
        <v/>
      </c>
      <c r="G172" s="60">
        <v>136</v>
      </c>
      <c r="H172" s="86" t="str" cm="1">
        <f t="array" aca="1" ref="H17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136),"")</f>
        <v/>
      </c>
      <c r="I172" s="86" t="str" cm="1">
        <f t="array" aca="1" ref="I172" ca="1">IF(H172="","",IF(INDIRECT("'"&amp;$Q$3&amp;"'!"&amp;$Q$7&amp;(H172+1))=1,"ON","OFF"))</f>
        <v/>
      </c>
      <c r="J172" s="87" t="str" cm="1">
        <f t="array" aca="1" ref="J172" ca="1">IF(H172="","",IFERROR((INDIRECT("'"&amp;$Q$3&amp;"'!A"&amp;(H172+1))-INDIRECT("'"&amp;$Q$3&amp;"'!A2"))*86400,""))</f>
        <v/>
      </c>
      <c r="K172" s="88" t="str">
        <f t="shared" ca="1" si="10"/>
        <v/>
      </c>
    </row>
    <row r="173" spans="1:11" x14ac:dyDescent="0.25">
      <c r="A173" s="60">
        <v>137</v>
      </c>
      <c r="B173" s="86" t="str" cm="1">
        <f t="array" aca="1" ref="B17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137),"")</f>
        <v/>
      </c>
      <c r="C173" s="86" t="str" cm="1">
        <f t="array" aca="1" ref="C173" ca="1">IF(B173="","",IF(INDIRECT("'"&amp;$Q$3&amp;"'!"&amp;$Q$6&amp;(B173+1))=1,"ON","OFF"))</f>
        <v/>
      </c>
      <c r="D173" s="87" t="str" cm="1">
        <f t="array" aca="1" ref="D173" ca="1">IF(B173="","",IFERROR((INDIRECT("'"&amp;$Q$3&amp;"'!A"&amp;(B173+1))-INDIRECT("'"&amp;$Q$3&amp;"'!A2"))*86400,""))</f>
        <v/>
      </c>
      <c r="E173" s="88" t="str">
        <f t="shared" ca="1" si="9"/>
        <v/>
      </c>
      <c r="G173" s="60">
        <v>137</v>
      </c>
      <c r="H173" s="86" t="str" cm="1">
        <f t="array" aca="1" ref="H17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137),"")</f>
        <v/>
      </c>
      <c r="I173" s="86" t="str" cm="1">
        <f t="array" aca="1" ref="I173" ca="1">IF(H173="","",IF(INDIRECT("'"&amp;$Q$3&amp;"'!"&amp;$Q$7&amp;(H173+1))=1,"ON","OFF"))</f>
        <v/>
      </c>
      <c r="J173" s="87" t="str" cm="1">
        <f t="array" aca="1" ref="J173" ca="1">IF(H173="","",IFERROR((INDIRECT("'"&amp;$Q$3&amp;"'!A"&amp;(H173+1))-INDIRECT("'"&amp;$Q$3&amp;"'!A2"))*86400,""))</f>
        <v/>
      </c>
      <c r="K173" s="88" t="str">
        <f t="shared" ca="1" si="10"/>
        <v/>
      </c>
    </row>
    <row r="174" spans="1:11" x14ac:dyDescent="0.25">
      <c r="A174" s="60">
        <v>138</v>
      </c>
      <c r="B174" s="86" t="str" cm="1">
        <f t="array" aca="1" ref="B17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138),"")</f>
        <v/>
      </c>
      <c r="C174" s="86" t="str" cm="1">
        <f t="array" aca="1" ref="C174" ca="1">IF(B174="","",IF(INDIRECT("'"&amp;$Q$3&amp;"'!"&amp;$Q$6&amp;(B174+1))=1,"ON","OFF"))</f>
        <v/>
      </c>
      <c r="D174" s="87" t="str" cm="1">
        <f t="array" aca="1" ref="D174" ca="1">IF(B174="","",IFERROR((INDIRECT("'"&amp;$Q$3&amp;"'!A"&amp;(B174+1))-INDIRECT("'"&amp;$Q$3&amp;"'!A2"))*86400,""))</f>
        <v/>
      </c>
      <c r="E174" s="88" t="str">
        <f t="shared" ca="1" si="9"/>
        <v/>
      </c>
      <c r="G174" s="60">
        <v>138</v>
      </c>
      <c r="H174" s="86" t="str" cm="1">
        <f t="array" aca="1" ref="H17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138),"")</f>
        <v/>
      </c>
      <c r="I174" s="86" t="str" cm="1">
        <f t="array" aca="1" ref="I174" ca="1">IF(H174="","",IF(INDIRECT("'"&amp;$Q$3&amp;"'!"&amp;$Q$7&amp;(H174+1))=1,"ON","OFF"))</f>
        <v/>
      </c>
      <c r="J174" s="87" t="str" cm="1">
        <f t="array" aca="1" ref="J174" ca="1">IF(H174="","",IFERROR((INDIRECT("'"&amp;$Q$3&amp;"'!A"&amp;(H174+1))-INDIRECT("'"&amp;$Q$3&amp;"'!A2"))*86400,""))</f>
        <v/>
      </c>
      <c r="K174" s="88" t="str">
        <f t="shared" ca="1" si="10"/>
        <v/>
      </c>
    </row>
    <row r="175" spans="1:11" x14ac:dyDescent="0.25">
      <c r="A175" s="60">
        <v>139</v>
      </c>
      <c r="B175" s="86" t="str" cm="1">
        <f t="array" aca="1" ref="B17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139),"")</f>
        <v/>
      </c>
      <c r="C175" s="86" t="str" cm="1">
        <f t="array" aca="1" ref="C175" ca="1">IF(B175="","",IF(INDIRECT("'"&amp;$Q$3&amp;"'!"&amp;$Q$6&amp;(B175+1))=1,"ON","OFF"))</f>
        <v/>
      </c>
      <c r="D175" s="87" t="str" cm="1">
        <f t="array" aca="1" ref="D175" ca="1">IF(B175="","",IFERROR((INDIRECT("'"&amp;$Q$3&amp;"'!A"&amp;(B175+1))-INDIRECT("'"&amp;$Q$3&amp;"'!A2"))*86400,""))</f>
        <v/>
      </c>
      <c r="E175" s="88" t="str">
        <f t="shared" ca="1" si="9"/>
        <v/>
      </c>
      <c r="G175" s="60">
        <v>139</v>
      </c>
      <c r="H175" s="86" t="str" cm="1">
        <f t="array" aca="1" ref="H17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139),"")</f>
        <v/>
      </c>
      <c r="I175" s="86" t="str" cm="1">
        <f t="array" aca="1" ref="I175" ca="1">IF(H175="","",IF(INDIRECT("'"&amp;$Q$3&amp;"'!"&amp;$Q$7&amp;(H175+1))=1,"ON","OFF"))</f>
        <v/>
      </c>
      <c r="J175" s="87" t="str" cm="1">
        <f t="array" aca="1" ref="J175" ca="1">IF(H175="","",IFERROR((INDIRECT("'"&amp;$Q$3&amp;"'!A"&amp;(H175+1))-INDIRECT("'"&amp;$Q$3&amp;"'!A2"))*86400,""))</f>
        <v/>
      </c>
      <c r="K175" s="88" t="str">
        <f t="shared" ca="1" si="10"/>
        <v/>
      </c>
    </row>
    <row r="176" spans="1:11" x14ac:dyDescent="0.25">
      <c r="A176" s="60">
        <v>140</v>
      </c>
      <c r="B176" s="86" t="str" cm="1">
        <f t="array" aca="1" ref="B17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140),"")</f>
        <v/>
      </c>
      <c r="C176" s="86" t="str" cm="1">
        <f t="array" aca="1" ref="C176" ca="1">IF(B176="","",IF(INDIRECT("'"&amp;$Q$3&amp;"'!"&amp;$Q$6&amp;(B176+1))=1,"ON","OFF"))</f>
        <v/>
      </c>
      <c r="D176" s="87" t="str" cm="1">
        <f t="array" aca="1" ref="D176" ca="1">IF(B176="","",IFERROR((INDIRECT("'"&amp;$Q$3&amp;"'!A"&amp;(B176+1))-INDIRECT("'"&amp;$Q$3&amp;"'!A2"))*86400,""))</f>
        <v/>
      </c>
      <c r="E176" s="88" t="str">
        <f t="shared" ca="1" si="9"/>
        <v/>
      </c>
      <c r="G176" s="60">
        <v>140</v>
      </c>
      <c r="H176" s="86" t="str" cm="1">
        <f t="array" aca="1" ref="H17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140),"")</f>
        <v/>
      </c>
      <c r="I176" s="86" t="str" cm="1">
        <f t="array" aca="1" ref="I176" ca="1">IF(H176="","",IF(INDIRECT("'"&amp;$Q$3&amp;"'!"&amp;$Q$7&amp;(H176+1))=1,"ON","OFF"))</f>
        <v/>
      </c>
      <c r="J176" s="87" t="str" cm="1">
        <f t="array" aca="1" ref="J176" ca="1">IF(H176="","",IFERROR((INDIRECT("'"&amp;$Q$3&amp;"'!A"&amp;(H176+1))-INDIRECT("'"&amp;$Q$3&amp;"'!A2"))*86400,""))</f>
        <v/>
      </c>
      <c r="K176" s="88" t="str">
        <f t="shared" ca="1" si="10"/>
        <v/>
      </c>
    </row>
    <row r="177" spans="1:11" x14ac:dyDescent="0.25">
      <c r="A177" s="60">
        <v>141</v>
      </c>
      <c r="B177" s="86" t="str" cm="1">
        <f t="array" aca="1" ref="B17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141),"")</f>
        <v/>
      </c>
      <c r="C177" s="86" t="str" cm="1">
        <f t="array" aca="1" ref="C177" ca="1">IF(B177="","",IF(INDIRECT("'"&amp;$Q$3&amp;"'!"&amp;$Q$6&amp;(B177+1))=1,"ON","OFF"))</f>
        <v/>
      </c>
      <c r="D177" s="87" t="str" cm="1">
        <f t="array" aca="1" ref="D177" ca="1">IF(B177="","",IFERROR((INDIRECT("'"&amp;$Q$3&amp;"'!A"&amp;(B177+1))-INDIRECT("'"&amp;$Q$3&amp;"'!A2"))*86400,""))</f>
        <v/>
      </c>
      <c r="E177" s="88" t="str">
        <f t="shared" ca="1" si="9"/>
        <v/>
      </c>
      <c r="G177" s="60">
        <v>141</v>
      </c>
      <c r="H177" s="86" t="str" cm="1">
        <f t="array" aca="1" ref="H17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141),"")</f>
        <v/>
      </c>
      <c r="I177" s="86" t="str" cm="1">
        <f t="array" aca="1" ref="I177" ca="1">IF(H177="","",IF(INDIRECT("'"&amp;$Q$3&amp;"'!"&amp;$Q$7&amp;(H177+1))=1,"ON","OFF"))</f>
        <v/>
      </c>
      <c r="J177" s="87" t="str" cm="1">
        <f t="array" aca="1" ref="J177" ca="1">IF(H177="","",IFERROR((INDIRECT("'"&amp;$Q$3&amp;"'!A"&amp;(H177+1))-INDIRECT("'"&amp;$Q$3&amp;"'!A2"))*86400,""))</f>
        <v/>
      </c>
      <c r="K177" s="88" t="str">
        <f t="shared" ca="1" si="10"/>
        <v/>
      </c>
    </row>
    <row r="178" spans="1:11" x14ac:dyDescent="0.25">
      <c r="A178" s="60">
        <v>142</v>
      </c>
      <c r="B178" s="86" t="str" cm="1">
        <f t="array" aca="1" ref="B17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142),"")</f>
        <v/>
      </c>
      <c r="C178" s="86" t="str" cm="1">
        <f t="array" aca="1" ref="C178" ca="1">IF(B178="","",IF(INDIRECT("'"&amp;$Q$3&amp;"'!"&amp;$Q$6&amp;(B178+1))=1,"ON","OFF"))</f>
        <v/>
      </c>
      <c r="D178" s="87" t="str" cm="1">
        <f t="array" aca="1" ref="D178" ca="1">IF(B178="","",IFERROR((INDIRECT("'"&amp;$Q$3&amp;"'!A"&amp;(B178+1))-INDIRECT("'"&amp;$Q$3&amp;"'!A2"))*86400,""))</f>
        <v/>
      </c>
      <c r="E178" s="88" t="str">
        <f t="shared" ca="1" si="9"/>
        <v/>
      </c>
      <c r="G178" s="60">
        <v>142</v>
      </c>
      <c r="H178" s="86" t="str" cm="1">
        <f t="array" aca="1" ref="H17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142),"")</f>
        <v/>
      </c>
      <c r="I178" s="86" t="str" cm="1">
        <f t="array" aca="1" ref="I178" ca="1">IF(H178="","",IF(INDIRECT("'"&amp;$Q$3&amp;"'!"&amp;$Q$7&amp;(H178+1))=1,"ON","OFF"))</f>
        <v/>
      </c>
      <c r="J178" s="87" t="str" cm="1">
        <f t="array" aca="1" ref="J178" ca="1">IF(H178="","",IFERROR((INDIRECT("'"&amp;$Q$3&amp;"'!A"&amp;(H178+1))-INDIRECT("'"&amp;$Q$3&amp;"'!A2"))*86400,""))</f>
        <v/>
      </c>
      <c r="K178" s="88" t="str">
        <f t="shared" ca="1" si="10"/>
        <v/>
      </c>
    </row>
    <row r="179" spans="1:11" x14ac:dyDescent="0.25">
      <c r="A179" s="60">
        <v>143</v>
      </c>
      <c r="B179" s="86" t="str" cm="1">
        <f t="array" aca="1" ref="B17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143),"")</f>
        <v/>
      </c>
      <c r="C179" s="86" t="str" cm="1">
        <f t="array" aca="1" ref="C179" ca="1">IF(B179="","",IF(INDIRECT("'"&amp;$Q$3&amp;"'!"&amp;$Q$6&amp;(B179+1))=1,"ON","OFF"))</f>
        <v/>
      </c>
      <c r="D179" s="87" t="str" cm="1">
        <f t="array" aca="1" ref="D179" ca="1">IF(B179="","",IFERROR((INDIRECT("'"&amp;$Q$3&amp;"'!A"&amp;(B179+1))-INDIRECT("'"&amp;$Q$3&amp;"'!A2"))*86400,""))</f>
        <v/>
      </c>
      <c r="E179" s="88" t="str">
        <f t="shared" ca="1" si="9"/>
        <v/>
      </c>
      <c r="G179" s="60">
        <v>143</v>
      </c>
      <c r="H179" s="86" t="str" cm="1">
        <f t="array" aca="1" ref="H17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143),"")</f>
        <v/>
      </c>
      <c r="I179" s="86" t="str" cm="1">
        <f t="array" aca="1" ref="I179" ca="1">IF(H179="","",IF(INDIRECT("'"&amp;$Q$3&amp;"'!"&amp;$Q$7&amp;(H179+1))=1,"ON","OFF"))</f>
        <v/>
      </c>
      <c r="J179" s="87" t="str" cm="1">
        <f t="array" aca="1" ref="J179" ca="1">IF(H179="","",IFERROR((INDIRECT("'"&amp;$Q$3&amp;"'!A"&amp;(H179+1))-INDIRECT("'"&amp;$Q$3&amp;"'!A2"))*86400,""))</f>
        <v/>
      </c>
      <c r="K179" s="88" t="str">
        <f t="shared" ca="1" si="10"/>
        <v/>
      </c>
    </row>
    <row r="180" spans="1:11" x14ac:dyDescent="0.25">
      <c r="A180" s="60">
        <v>144</v>
      </c>
      <c r="B180" s="86" t="str" cm="1">
        <f t="array" aca="1" ref="B18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144),"")</f>
        <v/>
      </c>
      <c r="C180" s="86" t="str" cm="1">
        <f t="array" aca="1" ref="C180" ca="1">IF(B180="","",IF(INDIRECT("'"&amp;$Q$3&amp;"'!"&amp;$Q$6&amp;(B180+1))=1,"ON","OFF"))</f>
        <v/>
      </c>
      <c r="D180" s="87" t="str" cm="1">
        <f t="array" aca="1" ref="D180" ca="1">IF(B180="","",IFERROR((INDIRECT("'"&amp;$Q$3&amp;"'!A"&amp;(B180+1))-INDIRECT("'"&amp;$Q$3&amp;"'!A2"))*86400,""))</f>
        <v/>
      </c>
      <c r="E180" s="88" t="str">
        <f t="shared" ca="1" si="9"/>
        <v/>
      </c>
      <c r="G180" s="60">
        <v>144</v>
      </c>
      <c r="H180" s="86" t="str" cm="1">
        <f t="array" aca="1" ref="H18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144),"")</f>
        <v/>
      </c>
      <c r="I180" s="86" t="str" cm="1">
        <f t="array" aca="1" ref="I180" ca="1">IF(H180="","",IF(INDIRECT("'"&amp;$Q$3&amp;"'!"&amp;$Q$7&amp;(H180+1))=1,"ON","OFF"))</f>
        <v/>
      </c>
      <c r="J180" s="87" t="str" cm="1">
        <f t="array" aca="1" ref="J180" ca="1">IF(H180="","",IFERROR((INDIRECT("'"&amp;$Q$3&amp;"'!A"&amp;(H180+1))-INDIRECT("'"&amp;$Q$3&amp;"'!A2"))*86400,""))</f>
        <v/>
      </c>
      <c r="K180" s="88" t="str">
        <f t="shared" ca="1" si="10"/>
        <v/>
      </c>
    </row>
    <row r="181" spans="1:11" x14ac:dyDescent="0.25">
      <c r="A181" s="60">
        <v>145</v>
      </c>
      <c r="B181" s="86" t="str" cm="1">
        <f t="array" aca="1" ref="B18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145),"")</f>
        <v/>
      </c>
      <c r="C181" s="86" t="str" cm="1">
        <f t="array" aca="1" ref="C181" ca="1">IF(B181="","",IF(INDIRECT("'"&amp;$Q$3&amp;"'!"&amp;$Q$6&amp;(B181+1))=1,"ON","OFF"))</f>
        <v/>
      </c>
      <c r="D181" s="87" t="str" cm="1">
        <f t="array" aca="1" ref="D181" ca="1">IF(B181="","",IFERROR((INDIRECT("'"&amp;$Q$3&amp;"'!A"&amp;(B181+1))-INDIRECT("'"&amp;$Q$3&amp;"'!A2"))*86400,""))</f>
        <v/>
      </c>
      <c r="E181" s="88" t="str">
        <f t="shared" ca="1" si="9"/>
        <v/>
      </c>
      <c r="G181" s="60">
        <v>145</v>
      </c>
      <c r="H181" s="86" t="str" cm="1">
        <f t="array" aca="1" ref="H18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145),"")</f>
        <v/>
      </c>
      <c r="I181" s="86" t="str" cm="1">
        <f t="array" aca="1" ref="I181" ca="1">IF(H181="","",IF(INDIRECT("'"&amp;$Q$3&amp;"'!"&amp;$Q$7&amp;(H181+1))=1,"ON","OFF"))</f>
        <v/>
      </c>
      <c r="J181" s="87" t="str" cm="1">
        <f t="array" aca="1" ref="J181" ca="1">IF(H181="","",IFERROR((INDIRECT("'"&amp;$Q$3&amp;"'!A"&amp;(H181+1))-INDIRECT("'"&amp;$Q$3&amp;"'!A2"))*86400,""))</f>
        <v/>
      </c>
      <c r="K181" s="88" t="str">
        <f t="shared" ca="1" si="10"/>
        <v/>
      </c>
    </row>
    <row r="182" spans="1:11" x14ac:dyDescent="0.25">
      <c r="A182" s="60">
        <v>146</v>
      </c>
      <c r="B182" s="86" t="str" cm="1">
        <f t="array" aca="1" ref="B18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146),"")</f>
        <v/>
      </c>
      <c r="C182" s="86" t="str" cm="1">
        <f t="array" aca="1" ref="C182" ca="1">IF(B182="","",IF(INDIRECT("'"&amp;$Q$3&amp;"'!"&amp;$Q$6&amp;(B182+1))=1,"ON","OFF"))</f>
        <v/>
      </c>
      <c r="D182" s="87" t="str" cm="1">
        <f t="array" aca="1" ref="D182" ca="1">IF(B182="","",IFERROR((INDIRECT("'"&amp;$Q$3&amp;"'!A"&amp;(B182+1))-INDIRECT("'"&amp;$Q$3&amp;"'!A2"))*86400,""))</f>
        <v/>
      </c>
      <c r="E182" s="88" t="str">
        <f t="shared" ca="1" si="9"/>
        <v/>
      </c>
      <c r="G182" s="60">
        <v>146</v>
      </c>
      <c r="H182" s="86" t="str" cm="1">
        <f t="array" aca="1" ref="H18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146),"")</f>
        <v/>
      </c>
      <c r="I182" s="86" t="str" cm="1">
        <f t="array" aca="1" ref="I182" ca="1">IF(H182="","",IF(INDIRECT("'"&amp;$Q$3&amp;"'!"&amp;$Q$7&amp;(H182+1))=1,"ON","OFF"))</f>
        <v/>
      </c>
      <c r="J182" s="87" t="str" cm="1">
        <f t="array" aca="1" ref="J182" ca="1">IF(H182="","",IFERROR((INDIRECT("'"&amp;$Q$3&amp;"'!A"&amp;(H182+1))-INDIRECT("'"&amp;$Q$3&amp;"'!A2"))*86400,""))</f>
        <v/>
      </c>
      <c r="K182" s="88" t="str">
        <f t="shared" ca="1" si="10"/>
        <v/>
      </c>
    </row>
    <row r="183" spans="1:11" x14ac:dyDescent="0.25">
      <c r="A183" s="60">
        <v>147</v>
      </c>
      <c r="B183" s="86" t="str" cm="1">
        <f t="array" aca="1" ref="B18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147),"")</f>
        <v/>
      </c>
      <c r="C183" s="86" t="str" cm="1">
        <f t="array" aca="1" ref="C183" ca="1">IF(B183="","",IF(INDIRECT("'"&amp;$Q$3&amp;"'!"&amp;$Q$6&amp;(B183+1))=1,"ON","OFF"))</f>
        <v/>
      </c>
      <c r="D183" s="87" t="str" cm="1">
        <f t="array" aca="1" ref="D183" ca="1">IF(B183="","",IFERROR((INDIRECT("'"&amp;$Q$3&amp;"'!A"&amp;(B183+1))-INDIRECT("'"&amp;$Q$3&amp;"'!A2"))*86400,""))</f>
        <v/>
      </c>
      <c r="E183" s="88" t="str">
        <f t="shared" ca="1" si="9"/>
        <v/>
      </c>
      <c r="G183" s="60">
        <v>147</v>
      </c>
      <c r="H183" s="86" t="str" cm="1">
        <f t="array" aca="1" ref="H18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147),"")</f>
        <v/>
      </c>
      <c r="I183" s="86" t="str" cm="1">
        <f t="array" aca="1" ref="I183" ca="1">IF(H183="","",IF(INDIRECT("'"&amp;$Q$3&amp;"'!"&amp;$Q$7&amp;(H183+1))=1,"ON","OFF"))</f>
        <v/>
      </c>
      <c r="J183" s="87" t="str" cm="1">
        <f t="array" aca="1" ref="J183" ca="1">IF(H183="","",IFERROR((INDIRECT("'"&amp;$Q$3&amp;"'!A"&amp;(H183+1))-INDIRECT("'"&amp;$Q$3&amp;"'!A2"))*86400,""))</f>
        <v/>
      </c>
      <c r="K183" s="88" t="str">
        <f t="shared" ca="1" si="10"/>
        <v/>
      </c>
    </row>
    <row r="184" spans="1:11" x14ac:dyDescent="0.25">
      <c r="A184" s="60">
        <v>148</v>
      </c>
      <c r="B184" s="86" t="str" cm="1">
        <f t="array" aca="1" ref="B18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148),"")</f>
        <v/>
      </c>
      <c r="C184" s="86" t="str" cm="1">
        <f t="array" aca="1" ref="C184" ca="1">IF(B184="","",IF(INDIRECT("'"&amp;$Q$3&amp;"'!"&amp;$Q$6&amp;(B184+1))=1,"ON","OFF"))</f>
        <v/>
      </c>
      <c r="D184" s="87" t="str" cm="1">
        <f t="array" aca="1" ref="D184" ca="1">IF(B184="","",IFERROR((INDIRECT("'"&amp;$Q$3&amp;"'!A"&amp;(B184+1))-INDIRECT("'"&amp;$Q$3&amp;"'!A2"))*86400,""))</f>
        <v/>
      </c>
      <c r="E184" s="88" t="str">
        <f t="shared" ca="1" si="9"/>
        <v/>
      </c>
      <c r="G184" s="60">
        <v>148</v>
      </c>
      <c r="H184" s="86" t="str" cm="1">
        <f t="array" aca="1" ref="H18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148),"")</f>
        <v/>
      </c>
      <c r="I184" s="86" t="str" cm="1">
        <f t="array" aca="1" ref="I184" ca="1">IF(H184="","",IF(INDIRECT("'"&amp;$Q$3&amp;"'!"&amp;$Q$7&amp;(H184+1))=1,"ON","OFF"))</f>
        <v/>
      </c>
      <c r="J184" s="87" t="str" cm="1">
        <f t="array" aca="1" ref="J184" ca="1">IF(H184="","",IFERROR((INDIRECT("'"&amp;$Q$3&amp;"'!A"&amp;(H184+1))-INDIRECT("'"&amp;$Q$3&amp;"'!A2"))*86400,""))</f>
        <v/>
      </c>
      <c r="K184" s="88" t="str">
        <f t="shared" ca="1" si="10"/>
        <v/>
      </c>
    </row>
    <row r="185" spans="1:11" x14ac:dyDescent="0.25">
      <c r="A185" s="60">
        <v>149</v>
      </c>
      <c r="B185" s="86" t="str" cm="1">
        <f t="array" aca="1" ref="B18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149),"")</f>
        <v/>
      </c>
      <c r="C185" s="86" t="str" cm="1">
        <f t="array" aca="1" ref="C185" ca="1">IF(B185="","",IF(INDIRECT("'"&amp;$Q$3&amp;"'!"&amp;$Q$6&amp;(B185+1))=1,"ON","OFF"))</f>
        <v/>
      </c>
      <c r="D185" s="87" t="str" cm="1">
        <f t="array" aca="1" ref="D185" ca="1">IF(B185="","",IFERROR((INDIRECT("'"&amp;$Q$3&amp;"'!A"&amp;(B185+1))-INDIRECT("'"&amp;$Q$3&amp;"'!A2"))*86400,""))</f>
        <v/>
      </c>
      <c r="E185" s="88" t="str">
        <f t="shared" ca="1" si="9"/>
        <v/>
      </c>
      <c r="G185" s="60">
        <v>149</v>
      </c>
      <c r="H185" s="86" t="str" cm="1">
        <f t="array" aca="1" ref="H18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149),"")</f>
        <v/>
      </c>
      <c r="I185" s="86" t="str" cm="1">
        <f t="array" aca="1" ref="I185" ca="1">IF(H185="","",IF(INDIRECT("'"&amp;$Q$3&amp;"'!"&amp;$Q$7&amp;(H185+1))=1,"ON","OFF"))</f>
        <v/>
      </c>
      <c r="J185" s="87" t="str" cm="1">
        <f t="array" aca="1" ref="J185" ca="1">IF(H185="","",IFERROR((INDIRECT("'"&amp;$Q$3&amp;"'!A"&amp;(H185+1))-INDIRECT("'"&amp;$Q$3&amp;"'!A2"))*86400,""))</f>
        <v/>
      </c>
      <c r="K185" s="88" t="str">
        <f t="shared" ca="1" si="10"/>
        <v/>
      </c>
    </row>
    <row r="186" spans="1:11" x14ac:dyDescent="0.25">
      <c r="A186" s="60">
        <v>150</v>
      </c>
      <c r="B186" s="86" t="str" cm="1">
        <f t="array" aca="1" ref="B18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150),"")</f>
        <v/>
      </c>
      <c r="C186" s="86" t="str" cm="1">
        <f t="array" aca="1" ref="C186" ca="1">IF(B186="","",IF(INDIRECT("'"&amp;$Q$3&amp;"'!"&amp;$Q$6&amp;(B186+1))=1,"ON","OFF"))</f>
        <v/>
      </c>
      <c r="D186" s="87" t="str" cm="1">
        <f t="array" aca="1" ref="D186" ca="1">IF(B186="","",IFERROR((INDIRECT("'"&amp;$Q$3&amp;"'!A"&amp;(B186+1))-INDIRECT("'"&amp;$Q$3&amp;"'!A2"))*86400,""))</f>
        <v/>
      </c>
      <c r="E186" s="88" t="str">
        <f t="shared" ca="1" si="9"/>
        <v/>
      </c>
      <c r="G186" s="60">
        <v>150</v>
      </c>
      <c r="H186" s="86" t="str" cm="1">
        <f t="array" aca="1" ref="H18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150),"")</f>
        <v/>
      </c>
      <c r="I186" s="86" t="str" cm="1">
        <f t="array" aca="1" ref="I186" ca="1">IF(H186="","",IF(INDIRECT("'"&amp;$Q$3&amp;"'!"&amp;$Q$7&amp;(H186+1))=1,"ON","OFF"))</f>
        <v/>
      </c>
      <c r="J186" s="87" t="str" cm="1">
        <f t="array" aca="1" ref="J186" ca="1">IF(H186="","",IFERROR((INDIRECT("'"&amp;$Q$3&amp;"'!A"&amp;(H186+1))-INDIRECT("'"&amp;$Q$3&amp;"'!A2"))*86400,""))</f>
        <v/>
      </c>
      <c r="K186" s="88" t="str">
        <f t="shared" ca="1" si="10"/>
        <v/>
      </c>
    </row>
    <row r="187" spans="1:11" x14ac:dyDescent="0.25">
      <c r="A187" s="60">
        <v>151</v>
      </c>
      <c r="B187" s="86" t="str" cm="1">
        <f t="array" aca="1" ref="B18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151),"")</f>
        <v/>
      </c>
      <c r="C187" s="86" t="str" cm="1">
        <f t="array" aca="1" ref="C187" ca="1">IF(B187="","",IF(INDIRECT("'"&amp;$Q$3&amp;"'!"&amp;$Q$6&amp;(B187+1))=1,"ON","OFF"))</f>
        <v/>
      </c>
      <c r="D187" s="87" t="str" cm="1">
        <f t="array" aca="1" ref="D187" ca="1">IF(B187="","",IFERROR((INDIRECT("'"&amp;$Q$3&amp;"'!A"&amp;(B187+1))-INDIRECT("'"&amp;$Q$3&amp;"'!A2"))*86400,""))</f>
        <v/>
      </c>
      <c r="E187" s="88" t="str">
        <f t="shared" ca="1" si="9"/>
        <v/>
      </c>
      <c r="G187" s="60">
        <v>151</v>
      </c>
      <c r="H187" s="86" t="str" cm="1">
        <f t="array" aca="1" ref="H18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151),"")</f>
        <v/>
      </c>
      <c r="I187" s="86" t="str" cm="1">
        <f t="array" aca="1" ref="I187" ca="1">IF(H187="","",IF(INDIRECT("'"&amp;$Q$3&amp;"'!"&amp;$Q$7&amp;(H187+1))=1,"ON","OFF"))</f>
        <v/>
      </c>
      <c r="J187" s="87" t="str" cm="1">
        <f t="array" aca="1" ref="J187" ca="1">IF(H187="","",IFERROR((INDIRECT("'"&amp;$Q$3&amp;"'!A"&amp;(H187+1))-INDIRECT("'"&amp;$Q$3&amp;"'!A2"))*86400,""))</f>
        <v/>
      </c>
      <c r="K187" s="88" t="str">
        <f t="shared" ca="1" si="10"/>
        <v/>
      </c>
    </row>
    <row r="188" spans="1:11" x14ac:dyDescent="0.25">
      <c r="A188" s="60">
        <v>152</v>
      </c>
      <c r="B188" s="86" t="str" cm="1">
        <f t="array" aca="1" ref="B18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152),"")</f>
        <v/>
      </c>
      <c r="C188" s="86" t="str" cm="1">
        <f t="array" aca="1" ref="C188" ca="1">IF(B188="","",IF(INDIRECT("'"&amp;$Q$3&amp;"'!"&amp;$Q$6&amp;(B188+1))=1,"ON","OFF"))</f>
        <v/>
      </c>
      <c r="D188" s="87" t="str" cm="1">
        <f t="array" aca="1" ref="D188" ca="1">IF(B188="","",IFERROR((INDIRECT("'"&amp;$Q$3&amp;"'!A"&amp;(B188+1))-INDIRECT("'"&amp;$Q$3&amp;"'!A2"))*86400,""))</f>
        <v/>
      </c>
      <c r="E188" s="88" t="str">
        <f t="shared" ca="1" si="9"/>
        <v/>
      </c>
      <c r="G188" s="60">
        <v>152</v>
      </c>
      <c r="H188" s="86" t="str" cm="1">
        <f t="array" aca="1" ref="H18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152),"")</f>
        <v/>
      </c>
      <c r="I188" s="86" t="str" cm="1">
        <f t="array" aca="1" ref="I188" ca="1">IF(H188="","",IF(INDIRECT("'"&amp;$Q$3&amp;"'!"&amp;$Q$7&amp;(H188+1))=1,"ON","OFF"))</f>
        <v/>
      </c>
      <c r="J188" s="87" t="str" cm="1">
        <f t="array" aca="1" ref="J188" ca="1">IF(H188="","",IFERROR((INDIRECT("'"&amp;$Q$3&amp;"'!A"&amp;(H188+1))-INDIRECT("'"&amp;$Q$3&amp;"'!A2"))*86400,""))</f>
        <v/>
      </c>
      <c r="K188" s="88" t="str">
        <f t="shared" ca="1" si="10"/>
        <v/>
      </c>
    </row>
    <row r="189" spans="1:11" x14ac:dyDescent="0.25">
      <c r="A189" s="60">
        <v>153</v>
      </c>
      <c r="B189" s="86" t="str" cm="1">
        <f t="array" aca="1" ref="B18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153),"")</f>
        <v/>
      </c>
      <c r="C189" s="86" t="str" cm="1">
        <f t="array" aca="1" ref="C189" ca="1">IF(B189="","",IF(INDIRECT("'"&amp;$Q$3&amp;"'!"&amp;$Q$6&amp;(B189+1))=1,"ON","OFF"))</f>
        <v/>
      </c>
      <c r="D189" s="87" t="str" cm="1">
        <f t="array" aca="1" ref="D189" ca="1">IF(B189="","",IFERROR((INDIRECT("'"&amp;$Q$3&amp;"'!A"&amp;(B189+1))-INDIRECT("'"&amp;$Q$3&amp;"'!A2"))*86400,""))</f>
        <v/>
      </c>
      <c r="E189" s="88" t="str">
        <f t="shared" ca="1" si="9"/>
        <v/>
      </c>
      <c r="G189" s="60">
        <v>153</v>
      </c>
      <c r="H189" s="86" t="str" cm="1">
        <f t="array" aca="1" ref="H18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153),"")</f>
        <v/>
      </c>
      <c r="I189" s="86" t="str" cm="1">
        <f t="array" aca="1" ref="I189" ca="1">IF(H189="","",IF(INDIRECT("'"&amp;$Q$3&amp;"'!"&amp;$Q$7&amp;(H189+1))=1,"ON","OFF"))</f>
        <v/>
      </c>
      <c r="J189" s="87" t="str" cm="1">
        <f t="array" aca="1" ref="J189" ca="1">IF(H189="","",IFERROR((INDIRECT("'"&amp;$Q$3&amp;"'!A"&amp;(H189+1))-INDIRECT("'"&amp;$Q$3&amp;"'!A2"))*86400,""))</f>
        <v/>
      </c>
      <c r="K189" s="88" t="str">
        <f t="shared" ca="1" si="10"/>
        <v/>
      </c>
    </row>
    <row r="190" spans="1:11" x14ac:dyDescent="0.25">
      <c r="A190" s="60">
        <v>154</v>
      </c>
      <c r="B190" s="86" t="str" cm="1">
        <f t="array" aca="1" ref="B19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154),"")</f>
        <v/>
      </c>
      <c r="C190" s="86" t="str" cm="1">
        <f t="array" aca="1" ref="C190" ca="1">IF(B190="","",IF(INDIRECT("'"&amp;$Q$3&amp;"'!"&amp;$Q$6&amp;(B190+1))=1,"ON","OFF"))</f>
        <v/>
      </c>
      <c r="D190" s="87" t="str" cm="1">
        <f t="array" aca="1" ref="D190" ca="1">IF(B190="","",IFERROR((INDIRECT("'"&amp;$Q$3&amp;"'!A"&amp;(B190+1))-INDIRECT("'"&amp;$Q$3&amp;"'!A2"))*86400,""))</f>
        <v/>
      </c>
      <c r="E190" s="88" t="str">
        <f t="shared" ca="1" si="9"/>
        <v/>
      </c>
      <c r="G190" s="60">
        <v>154</v>
      </c>
      <c r="H190" s="86" t="str" cm="1">
        <f t="array" aca="1" ref="H19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154),"")</f>
        <v/>
      </c>
      <c r="I190" s="86" t="str" cm="1">
        <f t="array" aca="1" ref="I190" ca="1">IF(H190="","",IF(INDIRECT("'"&amp;$Q$3&amp;"'!"&amp;$Q$7&amp;(H190+1))=1,"ON","OFF"))</f>
        <v/>
      </c>
      <c r="J190" s="87" t="str" cm="1">
        <f t="array" aca="1" ref="J190" ca="1">IF(H190="","",IFERROR((INDIRECT("'"&amp;$Q$3&amp;"'!A"&amp;(H190+1))-INDIRECT("'"&amp;$Q$3&amp;"'!A2"))*86400,""))</f>
        <v/>
      </c>
      <c r="K190" s="88" t="str">
        <f t="shared" ca="1" si="10"/>
        <v/>
      </c>
    </row>
    <row r="191" spans="1:11" x14ac:dyDescent="0.25">
      <c r="A191" s="60">
        <v>155</v>
      </c>
      <c r="B191" s="86" t="str" cm="1">
        <f t="array" aca="1" ref="B19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155),"")</f>
        <v/>
      </c>
      <c r="C191" s="86" t="str" cm="1">
        <f t="array" aca="1" ref="C191" ca="1">IF(B191="","",IF(INDIRECT("'"&amp;$Q$3&amp;"'!"&amp;$Q$6&amp;(B191+1))=1,"ON","OFF"))</f>
        <v/>
      </c>
      <c r="D191" s="87" t="str" cm="1">
        <f t="array" aca="1" ref="D191" ca="1">IF(B191="","",IFERROR((INDIRECT("'"&amp;$Q$3&amp;"'!A"&amp;(B191+1))-INDIRECT("'"&amp;$Q$3&amp;"'!A2"))*86400,""))</f>
        <v/>
      </c>
      <c r="E191" s="88" t="str">
        <f t="shared" ca="1" si="9"/>
        <v/>
      </c>
      <c r="G191" s="60">
        <v>155</v>
      </c>
      <c r="H191" s="86" t="str" cm="1">
        <f t="array" aca="1" ref="H19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155),"")</f>
        <v/>
      </c>
      <c r="I191" s="86" t="str" cm="1">
        <f t="array" aca="1" ref="I191" ca="1">IF(H191="","",IF(INDIRECT("'"&amp;$Q$3&amp;"'!"&amp;$Q$7&amp;(H191+1))=1,"ON","OFF"))</f>
        <v/>
      </c>
      <c r="J191" s="87" t="str" cm="1">
        <f t="array" aca="1" ref="J191" ca="1">IF(H191="","",IFERROR((INDIRECT("'"&amp;$Q$3&amp;"'!A"&amp;(H191+1))-INDIRECT("'"&amp;$Q$3&amp;"'!A2"))*86400,""))</f>
        <v/>
      </c>
      <c r="K191" s="88" t="str">
        <f t="shared" ca="1" si="10"/>
        <v/>
      </c>
    </row>
    <row r="192" spans="1:11" x14ac:dyDescent="0.25">
      <c r="A192" s="60">
        <v>156</v>
      </c>
      <c r="B192" s="86" t="str" cm="1">
        <f t="array" aca="1" ref="B19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156),"")</f>
        <v/>
      </c>
      <c r="C192" s="86" t="str" cm="1">
        <f t="array" aca="1" ref="C192" ca="1">IF(B192="","",IF(INDIRECT("'"&amp;$Q$3&amp;"'!"&amp;$Q$6&amp;(B192+1))=1,"ON","OFF"))</f>
        <v/>
      </c>
      <c r="D192" s="87" t="str" cm="1">
        <f t="array" aca="1" ref="D192" ca="1">IF(B192="","",IFERROR((INDIRECT("'"&amp;$Q$3&amp;"'!A"&amp;(B192+1))-INDIRECT("'"&amp;$Q$3&amp;"'!A2"))*86400,""))</f>
        <v/>
      </c>
      <c r="E192" s="88" t="str">
        <f t="shared" ca="1" si="9"/>
        <v/>
      </c>
      <c r="G192" s="60">
        <v>156</v>
      </c>
      <c r="H192" s="86" t="str" cm="1">
        <f t="array" aca="1" ref="H19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156),"")</f>
        <v/>
      </c>
      <c r="I192" s="86" t="str" cm="1">
        <f t="array" aca="1" ref="I192" ca="1">IF(H192="","",IF(INDIRECT("'"&amp;$Q$3&amp;"'!"&amp;$Q$7&amp;(H192+1))=1,"ON","OFF"))</f>
        <v/>
      </c>
      <c r="J192" s="87" t="str" cm="1">
        <f t="array" aca="1" ref="J192" ca="1">IF(H192="","",IFERROR((INDIRECT("'"&amp;$Q$3&amp;"'!A"&amp;(H192+1))-INDIRECT("'"&amp;$Q$3&amp;"'!A2"))*86400,""))</f>
        <v/>
      </c>
      <c r="K192" s="88" t="str">
        <f t="shared" ca="1" si="10"/>
        <v/>
      </c>
    </row>
    <row r="193" spans="1:11" x14ac:dyDescent="0.25">
      <c r="A193" s="60">
        <v>157</v>
      </c>
      <c r="B193" s="86" t="str" cm="1">
        <f t="array" aca="1" ref="B19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157),"")</f>
        <v/>
      </c>
      <c r="C193" s="86" t="str" cm="1">
        <f t="array" aca="1" ref="C193" ca="1">IF(B193="","",IF(INDIRECT("'"&amp;$Q$3&amp;"'!"&amp;$Q$6&amp;(B193+1))=1,"ON","OFF"))</f>
        <v/>
      </c>
      <c r="D193" s="87" t="str" cm="1">
        <f t="array" aca="1" ref="D193" ca="1">IF(B193="","",IFERROR((INDIRECT("'"&amp;$Q$3&amp;"'!A"&amp;(B193+1))-INDIRECT("'"&amp;$Q$3&amp;"'!A2"))*86400,""))</f>
        <v/>
      </c>
      <c r="E193" s="88" t="str">
        <f t="shared" ca="1" si="9"/>
        <v/>
      </c>
      <c r="G193" s="60">
        <v>157</v>
      </c>
      <c r="H193" s="86" t="str" cm="1">
        <f t="array" aca="1" ref="H19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157),"")</f>
        <v/>
      </c>
      <c r="I193" s="86" t="str" cm="1">
        <f t="array" aca="1" ref="I193" ca="1">IF(H193="","",IF(INDIRECT("'"&amp;$Q$3&amp;"'!"&amp;$Q$7&amp;(H193+1))=1,"ON","OFF"))</f>
        <v/>
      </c>
      <c r="J193" s="87" t="str" cm="1">
        <f t="array" aca="1" ref="J193" ca="1">IF(H193="","",IFERROR((INDIRECT("'"&amp;$Q$3&amp;"'!A"&amp;(H193+1))-INDIRECT("'"&amp;$Q$3&amp;"'!A2"))*86400,""))</f>
        <v/>
      </c>
      <c r="K193" s="88" t="str">
        <f t="shared" ca="1" si="10"/>
        <v/>
      </c>
    </row>
    <row r="194" spans="1:11" x14ac:dyDescent="0.25">
      <c r="A194" s="60">
        <v>158</v>
      </c>
      <c r="B194" s="86" t="str" cm="1">
        <f t="array" aca="1" ref="B19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158),"")</f>
        <v/>
      </c>
      <c r="C194" s="86" t="str" cm="1">
        <f t="array" aca="1" ref="C194" ca="1">IF(B194="","",IF(INDIRECT("'"&amp;$Q$3&amp;"'!"&amp;$Q$6&amp;(B194+1))=1,"ON","OFF"))</f>
        <v/>
      </c>
      <c r="D194" s="87" t="str" cm="1">
        <f t="array" aca="1" ref="D194" ca="1">IF(B194="","",IFERROR((INDIRECT("'"&amp;$Q$3&amp;"'!A"&amp;(B194+1))-INDIRECT("'"&amp;$Q$3&amp;"'!A2"))*86400,""))</f>
        <v/>
      </c>
      <c r="E194" s="88" t="str">
        <f t="shared" ca="1" si="9"/>
        <v/>
      </c>
      <c r="G194" s="60">
        <v>158</v>
      </c>
      <c r="H194" s="86" t="str" cm="1">
        <f t="array" aca="1" ref="H19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158),"")</f>
        <v/>
      </c>
      <c r="I194" s="86" t="str" cm="1">
        <f t="array" aca="1" ref="I194" ca="1">IF(H194="","",IF(INDIRECT("'"&amp;$Q$3&amp;"'!"&amp;$Q$7&amp;(H194+1))=1,"ON","OFF"))</f>
        <v/>
      </c>
      <c r="J194" s="87" t="str" cm="1">
        <f t="array" aca="1" ref="J194" ca="1">IF(H194="","",IFERROR((INDIRECT("'"&amp;$Q$3&amp;"'!A"&amp;(H194+1))-INDIRECT("'"&amp;$Q$3&amp;"'!A2"))*86400,""))</f>
        <v/>
      </c>
      <c r="K194" s="88" t="str">
        <f t="shared" ca="1" si="10"/>
        <v/>
      </c>
    </row>
    <row r="195" spans="1:11" x14ac:dyDescent="0.25">
      <c r="A195" s="60">
        <v>159</v>
      </c>
      <c r="B195" s="86" t="str" cm="1">
        <f t="array" aca="1" ref="B19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159),"")</f>
        <v/>
      </c>
      <c r="C195" s="86" t="str" cm="1">
        <f t="array" aca="1" ref="C195" ca="1">IF(B195="","",IF(INDIRECT("'"&amp;$Q$3&amp;"'!"&amp;$Q$6&amp;(B195+1))=1,"ON","OFF"))</f>
        <v/>
      </c>
      <c r="D195" s="87" t="str" cm="1">
        <f t="array" aca="1" ref="D195" ca="1">IF(B195="","",IFERROR((INDIRECT("'"&amp;$Q$3&amp;"'!A"&amp;(B195+1))-INDIRECT("'"&amp;$Q$3&amp;"'!A2"))*86400,""))</f>
        <v/>
      </c>
      <c r="E195" s="88" t="str">
        <f t="shared" ca="1" si="9"/>
        <v/>
      </c>
      <c r="G195" s="60">
        <v>159</v>
      </c>
      <c r="H195" s="86" t="str" cm="1">
        <f t="array" aca="1" ref="H19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159),"")</f>
        <v/>
      </c>
      <c r="I195" s="86" t="str" cm="1">
        <f t="array" aca="1" ref="I195" ca="1">IF(H195="","",IF(INDIRECT("'"&amp;$Q$3&amp;"'!"&amp;$Q$7&amp;(H195+1))=1,"ON","OFF"))</f>
        <v/>
      </c>
      <c r="J195" s="87" t="str" cm="1">
        <f t="array" aca="1" ref="J195" ca="1">IF(H195="","",IFERROR((INDIRECT("'"&amp;$Q$3&amp;"'!A"&amp;(H195+1))-INDIRECT("'"&amp;$Q$3&amp;"'!A2"))*86400,""))</f>
        <v/>
      </c>
      <c r="K195" s="88" t="str">
        <f t="shared" ca="1" si="10"/>
        <v/>
      </c>
    </row>
    <row r="196" spans="1:11" x14ac:dyDescent="0.25">
      <c r="A196" s="60">
        <v>160</v>
      </c>
      <c r="B196" s="86" t="str" cm="1">
        <f t="array" aca="1" ref="B19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160),"")</f>
        <v/>
      </c>
      <c r="C196" s="86" t="str" cm="1">
        <f t="array" aca="1" ref="C196" ca="1">IF(B196="","",IF(INDIRECT("'"&amp;$Q$3&amp;"'!"&amp;$Q$6&amp;(B196+1))=1,"ON","OFF"))</f>
        <v/>
      </c>
      <c r="D196" s="87" t="str" cm="1">
        <f t="array" aca="1" ref="D196" ca="1">IF(B196="","",IFERROR((INDIRECT("'"&amp;$Q$3&amp;"'!A"&amp;(B196+1))-INDIRECT("'"&amp;$Q$3&amp;"'!A2"))*86400,""))</f>
        <v/>
      </c>
      <c r="E196" s="88" t="str">
        <f t="shared" ca="1" si="9"/>
        <v/>
      </c>
      <c r="G196" s="60">
        <v>160</v>
      </c>
      <c r="H196" s="86" t="str" cm="1">
        <f t="array" aca="1" ref="H19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160),"")</f>
        <v/>
      </c>
      <c r="I196" s="86" t="str" cm="1">
        <f t="array" aca="1" ref="I196" ca="1">IF(H196="","",IF(INDIRECT("'"&amp;$Q$3&amp;"'!"&amp;$Q$7&amp;(H196+1))=1,"ON","OFF"))</f>
        <v/>
      </c>
      <c r="J196" s="87" t="str" cm="1">
        <f t="array" aca="1" ref="J196" ca="1">IF(H196="","",IFERROR((INDIRECT("'"&amp;$Q$3&amp;"'!A"&amp;(H196+1))-INDIRECT("'"&amp;$Q$3&amp;"'!A2"))*86400,""))</f>
        <v/>
      </c>
      <c r="K196" s="88" t="str">
        <f t="shared" ca="1" si="10"/>
        <v/>
      </c>
    </row>
    <row r="197" spans="1:11" x14ac:dyDescent="0.25">
      <c r="A197" s="60">
        <v>161</v>
      </c>
      <c r="B197" s="86" t="str" cm="1">
        <f t="array" aca="1" ref="B19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161),"")</f>
        <v/>
      </c>
      <c r="C197" s="86" t="str" cm="1">
        <f t="array" aca="1" ref="C197" ca="1">IF(B197="","",IF(INDIRECT("'"&amp;$Q$3&amp;"'!"&amp;$Q$6&amp;(B197+1))=1,"ON","OFF"))</f>
        <v/>
      </c>
      <c r="D197" s="87" t="str" cm="1">
        <f t="array" aca="1" ref="D197" ca="1">IF(B197="","",IFERROR((INDIRECT("'"&amp;$Q$3&amp;"'!A"&amp;(B197+1))-INDIRECT("'"&amp;$Q$3&amp;"'!A2"))*86400,""))</f>
        <v/>
      </c>
      <c r="E197" s="88" t="str">
        <f t="shared" ref="E197:E206" ca="1" si="11">IF(OR(B197="",B198=""),"",ROUND((D198-D197)*1000,0))</f>
        <v/>
      </c>
      <c r="G197" s="60">
        <v>161</v>
      </c>
      <c r="H197" s="86" t="str" cm="1">
        <f t="array" aca="1" ref="H19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161),"")</f>
        <v/>
      </c>
      <c r="I197" s="86" t="str" cm="1">
        <f t="array" aca="1" ref="I197" ca="1">IF(H197="","",IF(INDIRECT("'"&amp;$Q$3&amp;"'!"&amp;$Q$7&amp;(H197+1))=1,"ON","OFF"))</f>
        <v/>
      </c>
      <c r="J197" s="87" t="str" cm="1">
        <f t="array" aca="1" ref="J197" ca="1">IF(H197="","",IFERROR((INDIRECT("'"&amp;$Q$3&amp;"'!A"&amp;(H197+1))-INDIRECT("'"&amp;$Q$3&amp;"'!A2"))*86400,""))</f>
        <v/>
      </c>
      <c r="K197" s="88" t="str">
        <f t="shared" ref="K197:K206" ca="1" si="12">IF(OR(H197="",H198=""),"",ROUND((J198-J197)*1000,0))</f>
        <v/>
      </c>
    </row>
    <row r="198" spans="1:11" x14ac:dyDescent="0.25">
      <c r="A198" s="60">
        <v>162</v>
      </c>
      <c r="B198" s="86" t="str" cm="1">
        <f t="array" aca="1" ref="B19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162),"")</f>
        <v/>
      </c>
      <c r="C198" s="86" t="str" cm="1">
        <f t="array" aca="1" ref="C198" ca="1">IF(B198="","",IF(INDIRECT("'"&amp;$Q$3&amp;"'!"&amp;$Q$6&amp;(B198+1))=1,"ON","OFF"))</f>
        <v/>
      </c>
      <c r="D198" s="87" t="str" cm="1">
        <f t="array" aca="1" ref="D198" ca="1">IF(B198="","",IFERROR((INDIRECT("'"&amp;$Q$3&amp;"'!A"&amp;(B198+1))-INDIRECT("'"&amp;$Q$3&amp;"'!A2"))*86400,""))</f>
        <v/>
      </c>
      <c r="E198" s="88" t="str">
        <f t="shared" ca="1" si="11"/>
        <v/>
      </c>
      <c r="G198" s="60">
        <v>162</v>
      </c>
      <c r="H198" s="86" t="str" cm="1">
        <f t="array" aca="1" ref="H19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162),"")</f>
        <v/>
      </c>
      <c r="I198" s="86" t="str" cm="1">
        <f t="array" aca="1" ref="I198" ca="1">IF(H198="","",IF(INDIRECT("'"&amp;$Q$3&amp;"'!"&amp;$Q$7&amp;(H198+1))=1,"ON","OFF"))</f>
        <v/>
      </c>
      <c r="J198" s="87" t="str" cm="1">
        <f t="array" aca="1" ref="J198" ca="1">IF(H198="","",IFERROR((INDIRECT("'"&amp;$Q$3&amp;"'!A"&amp;(H198+1))-INDIRECT("'"&amp;$Q$3&amp;"'!A2"))*86400,""))</f>
        <v/>
      </c>
      <c r="K198" s="88" t="str">
        <f t="shared" ca="1" si="12"/>
        <v/>
      </c>
    </row>
    <row r="199" spans="1:11" x14ac:dyDescent="0.25">
      <c r="A199" s="60">
        <v>163</v>
      </c>
      <c r="B199" s="86" t="str" cm="1">
        <f t="array" aca="1" ref="B19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163),"")</f>
        <v/>
      </c>
      <c r="C199" s="86" t="str" cm="1">
        <f t="array" aca="1" ref="C199" ca="1">IF(B199="","",IF(INDIRECT("'"&amp;$Q$3&amp;"'!"&amp;$Q$6&amp;(B199+1))=1,"ON","OFF"))</f>
        <v/>
      </c>
      <c r="D199" s="87" t="str" cm="1">
        <f t="array" aca="1" ref="D199" ca="1">IF(B199="","",IFERROR((INDIRECT("'"&amp;$Q$3&amp;"'!A"&amp;(B199+1))-INDIRECT("'"&amp;$Q$3&amp;"'!A2"))*86400,""))</f>
        <v/>
      </c>
      <c r="E199" s="88" t="str">
        <f t="shared" ca="1" si="11"/>
        <v/>
      </c>
      <c r="G199" s="60">
        <v>163</v>
      </c>
      <c r="H199" s="86" t="str" cm="1">
        <f t="array" aca="1" ref="H19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163),"")</f>
        <v/>
      </c>
      <c r="I199" s="86" t="str" cm="1">
        <f t="array" aca="1" ref="I199" ca="1">IF(H199="","",IF(INDIRECT("'"&amp;$Q$3&amp;"'!"&amp;$Q$7&amp;(H199+1))=1,"ON","OFF"))</f>
        <v/>
      </c>
      <c r="J199" s="87" t="str" cm="1">
        <f t="array" aca="1" ref="J199" ca="1">IF(H199="","",IFERROR((INDIRECT("'"&amp;$Q$3&amp;"'!A"&amp;(H199+1))-INDIRECT("'"&amp;$Q$3&amp;"'!A2"))*86400,""))</f>
        <v/>
      </c>
      <c r="K199" s="88" t="str">
        <f t="shared" ca="1" si="12"/>
        <v/>
      </c>
    </row>
    <row r="200" spans="1:11" x14ac:dyDescent="0.25">
      <c r="A200" s="60">
        <v>164</v>
      </c>
      <c r="B200" s="86" t="str" cm="1">
        <f t="array" aca="1" ref="B20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164),"")</f>
        <v/>
      </c>
      <c r="C200" s="86" t="str" cm="1">
        <f t="array" aca="1" ref="C200" ca="1">IF(B200="","",IF(INDIRECT("'"&amp;$Q$3&amp;"'!"&amp;$Q$6&amp;(B200+1))=1,"ON","OFF"))</f>
        <v/>
      </c>
      <c r="D200" s="87" t="str" cm="1">
        <f t="array" aca="1" ref="D200" ca="1">IF(B200="","",IFERROR((INDIRECT("'"&amp;$Q$3&amp;"'!A"&amp;(B200+1))-INDIRECT("'"&amp;$Q$3&amp;"'!A2"))*86400,""))</f>
        <v/>
      </c>
      <c r="E200" s="88" t="str">
        <f t="shared" ca="1" si="11"/>
        <v/>
      </c>
      <c r="G200" s="60">
        <v>164</v>
      </c>
      <c r="H200" s="86" t="str" cm="1">
        <f t="array" aca="1" ref="H20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164),"")</f>
        <v/>
      </c>
      <c r="I200" s="86" t="str" cm="1">
        <f t="array" aca="1" ref="I200" ca="1">IF(H200="","",IF(INDIRECT("'"&amp;$Q$3&amp;"'!"&amp;$Q$7&amp;(H200+1))=1,"ON","OFF"))</f>
        <v/>
      </c>
      <c r="J200" s="87" t="str" cm="1">
        <f t="array" aca="1" ref="J200" ca="1">IF(H200="","",IFERROR((INDIRECT("'"&amp;$Q$3&amp;"'!A"&amp;(H200+1))-INDIRECT("'"&amp;$Q$3&amp;"'!A2"))*86400,""))</f>
        <v/>
      </c>
      <c r="K200" s="88" t="str">
        <f t="shared" ca="1" si="12"/>
        <v/>
      </c>
    </row>
    <row r="201" spans="1:11" x14ac:dyDescent="0.25">
      <c r="A201" s="60">
        <v>165</v>
      </c>
      <c r="B201" s="86" t="str" cm="1">
        <f t="array" aca="1" ref="B20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165),"")</f>
        <v/>
      </c>
      <c r="C201" s="86" t="str" cm="1">
        <f t="array" aca="1" ref="C201" ca="1">IF(B201="","",IF(INDIRECT("'"&amp;$Q$3&amp;"'!"&amp;$Q$6&amp;(B201+1))=1,"ON","OFF"))</f>
        <v/>
      </c>
      <c r="D201" s="87" t="str" cm="1">
        <f t="array" aca="1" ref="D201" ca="1">IF(B201="","",IFERROR((INDIRECT("'"&amp;$Q$3&amp;"'!A"&amp;(B201+1))-INDIRECT("'"&amp;$Q$3&amp;"'!A2"))*86400,""))</f>
        <v/>
      </c>
      <c r="E201" s="88" t="str">
        <f t="shared" ca="1" si="11"/>
        <v/>
      </c>
      <c r="G201" s="60">
        <v>165</v>
      </c>
      <c r="H201" s="86" t="str" cm="1">
        <f t="array" aca="1" ref="H20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165),"")</f>
        <v/>
      </c>
      <c r="I201" s="86" t="str" cm="1">
        <f t="array" aca="1" ref="I201" ca="1">IF(H201="","",IF(INDIRECT("'"&amp;$Q$3&amp;"'!"&amp;$Q$7&amp;(H201+1))=1,"ON","OFF"))</f>
        <v/>
      </c>
      <c r="J201" s="87" t="str" cm="1">
        <f t="array" aca="1" ref="J201" ca="1">IF(H201="","",IFERROR((INDIRECT("'"&amp;$Q$3&amp;"'!A"&amp;(H201+1))-INDIRECT("'"&amp;$Q$3&amp;"'!A2"))*86400,""))</f>
        <v/>
      </c>
      <c r="K201" s="88" t="str">
        <f t="shared" ca="1" si="12"/>
        <v/>
      </c>
    </row>
    <row r="202" spans="1:11" x14ac:dyDescent="0.25">
      <c r="A202" s="60">
        <v>166</v>
      </c>
      <c r="B202" s="86" t="str" cm="1">
        <f t="array" aca="1" ref="B20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166),"")</f>
        <v/>
      </c>
      <c r="C202" s="86" t="str" cm="1">
        <f t="array" aca="1" ref="C202" ca="1">IF(B202="","",IF(INDIRECT("'"&amp;$Q$3&amp;"'!"&amp;$Q$6&amp;(B202+1))=1,"ON","OFF"))</f>
        <v/>
      </c>
      <c r="D202" s="87" t="str" cm="1">
        <f t="array" aca="1" ref="D202" ca="1">IF(B202="","",IFERROR((INDIRECT("'"&amp;$Q$3&amp;"'!A"&amp;(B202+1))-INDIRECT("'"&amp;$Q$3&amp;"'!A2"))*86400,""))</f>
        <v/>
      </c>
      <c r="E202" s="88" t="str">
        <f t="shared" ca="1" si="11"/>
        <v/>
      </c>
      <c r="G202" s="60">
        <v>166</v>
      </c>
      <c r="H202" s="86" t="str" cm="1">
        <f t="array" aca="1" ref="H20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166),"")</f>
        <v/>
      </c>
      <c r="I202" s="86" t="str" cm="1">
        <f t="array" aca="1" ref="I202" ca="1">IF(H202="","",IF(INDIRECT("'"&amp;$Q$3&amp;"'!"&amp;$Q$7&amp;(H202+1))=1,"ON","OFF"))</f>
        <v/>
      </c>
      <c r="J202" s="87" t="str" cm="1">
        <f t="array" aca="1" ref="J202" ca="1">IF(H202="","",IFERROR((INDIRECT("'"&amp;$Q$3&amp;"'!A"&amp;(H202+1))-INDIRECT("'"&amp;$Q$3&amp;"'!A2"))*86400,""))</f>
        <v/>
      </c>
      <c r="K202" s="88" t="str">
        <f t="shared" ca="1" si="12"/>
        <v/>
      </c>
    </row>
    <row r="203" spans="1:11" x14ac:dyDescent="0.25">
      <c r="A203" s="60">
        <v>167</v>
      </c>
      <c r="B203" s="86" t="str" cm="1">
        <f t="array" aca="1" ref="B20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167),"")</f>
        <v/>
      </c>
      <c r="C203" s="86" t="str" cm="1">
        <f t="array" aca="1" ref="C203" ca="1">IF(B203="","",IF(INDIRECT("'"&amp;$Q$3&amp;"'!"&amp;$Q$6&amp;(B203+1))=1,"ON","OFF"))</f>
        <v/>
      </c>
      <c r="D203" s="87" t="str" cm="1">
        <f t="array" aca="1" ref="D203" ca="1">IF(B203="","",IFERROR((INDIRECT("'"&amp;$Q$3&amp;"'!A"&amp;(B203+1))-INDIRECT("'"&amp;$Q$3&amp;"'!A2"))*86400,""))</f>
        <v/>
      </c>
      <c r="E203" s="88" t="str">
        <f t="shared" ca="1" si="11"/>
        <v/>
      </c>
      <c r="G203" s="60">
        <v>167</v>
      </c>
      <c r="H203" s="86" t="str" cm="1">
        <f t="array" aca="1" ref="H20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167),"")</f>
        <v/>
      </c>
      <c r="I203" s="86" t="str" cm="1">
        <f t="array" aca="1" ref="I203" ca="1">IF(H203="","",IF(INDIRECT("'"&amp;$Q$3&amp;"'!"&amp;$Q$7&amp;(H203+1))=1,"ON","OFF"))</f>
        <v/>
      </c>
      <c r="J203" s="87" t="str" cm="1">
        <f t="array" aca="1" ref="J203" ca="1">IF(H203="","",IFERROR((INDIRECT("'"&amp;$Q$3&amp;"'!A"&amp;(H203+1))-INDIRECT("'"&amp;$Q$3&amp;"'!A2"))*86400,""))</f>
        <v/>
      </c>
      <c r="K203" s="88" t="str">
        <f t="shared" ca="1" si="12"/>
        <v/>
      </c>
    </row>
    <row r="204" spans="1:11" x14ac:dyDescent="0.25">
      <c r="A204" s="60">
        <v>168</v>
      </c>
      <c r="B204" s="86" t="str" cm="1">
        <f t="array" aca="1" ref="B20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168),"")</f>
        <v/>
      </c>
      <c r="C204" s="86" t="str" cm="1">
        <f t="array" aca="1" ref="C204" ca="1">IF(B204="","",IF(INDIRECT("'"&amp;$Q$3&amp;"'!"&amp;$Q$6&amp;(B204+1))=1,"ON","OFF"))</f>
        <v/>
      </c>
      <c r="D204" s="87" t="str" cm="1">
        <f t="array" aca="1" ref="D204" ca="1">IF(B204="","",IFERROR((INDIRECT("'"&amp;$Q$3&amp;"'!A"&amp;(B204+1))-INDIRECT("'"&amp;$Q$3&amp;"'!A2"))*86400,""))</f>
        <v/>
      </c>
      <c r="E204" s="88" t="str">
        <f t="shared" ca="1" si="11"/>
        <v/>
      </c>
      <c r="G204" s="60">
        <v>168</v>
      </c>
      <c r="H204" s="86" t="str" cm="1">
        <f t="array" aca="1" ref="H20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168),"")</f>
        <v/>
      </c>
      <c r="I204" s="86" t="str" cm="1">
        <f t="array" aca="1" ref="I204" ca="1">IF(H204="","",IF(INDIRECT("'"&amp;$Q$3&amp;"'!"&amp;$Q$7&amp;(H204+1))=1,"ON","OFF"))</f>
        <v/>
      </c>
      <c r="J204" s="87" t="str" cm="1">
        <f t="array" aca="1" ref="J204" ca="1">IF(H204="","",IFERROR((INDIRECT("'"&amp;$Q$3&amp;"'!A"&amp;(H204+1))-INDIRECT("'"&amp;$Q$3&amp;"'!A2"))*86400,""))</f>
        <v/>
      </c>
      <c r="K204" s="88" t="str">
        <f t="shared" ca="1" si="12"/>
        <v/>
      </c>
    </row>
    <row r="205" spans="1:11" x14ac:dyDescent="0.25">
      <c r="A205" s="60">
        <v>169</v>
      </c>
      <c r="B205" s="86" t="str" cm="1">
        <f t="array" aca="1" ref="B20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169),"")</f>
        <v/>
      </c>
      <c r="C205" s="86" t="str" cm="1">
        <f t="array" aca="1" ref="C205" ca="1">IF(B205="","",IF(INDIRECT("'"&amp;$Q$3&amp;"'!"&amp;$Q$6&amp;(B205+1))=1,"ON","OFF"))</f>
        <v/>
      </c>
      <c r="D205" s="87" t="str" cm="1">
        <f t="array" aca="1" ref="D205" ca="1">IF(B205="","",IFERROR((INDIRECT("'"&amp;$Q$3&amp;"'!A"&amp;(B205+1))-INDIRECT("'"&amp;$Q$3&amp;"'!A2"))*86400,""))</f>
        <v/>
      </c>
      <c r="E205" s="88" t="str">
        <f t="shared" ca="1" si="11"/>
        <v/>
      </c>
      <c r="G205" s="60">
        <v>169</v>
      </c>
      <c r="H205" s="86" t="str" cm="1">
        <f t="array" aca="1" ref="H20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169),"")</f>
        <v/>
      </c>
      <c r="I205" s="86" t="str" cm="1">
        <f t="array" aca="1" ref="I205" ca="1">IF(H205="","",IF(INDIRECT("'"&amp;$Q$3&amp;"'!"&amp;$Q$7&amp;(H205+1))=1,"ON","OFF"))</f>
        <v/>
      </c>
      <c r="J205" s="87" t="str" cm="1">
        <f t="array" aca="1" ref="J205" ca="1">IF(H205="","",IFERROR((INDIRECT("'"&amp;$Q$3&amp;"'!A"&amp;(H205+1))-INDIRECT("'"&amp;$Q$3&amp;"'!A2"))*86400,""))</f>
        <v/>
      </c>
      <c r="K205" s="88" t="str">
        <f t="shared" ca="1" si="12"/>
        <v/>
      </c>
    </row>
    <row r="206" spans="1:11" x14ac:dyDescent="0.25">
      <c r="A206" s="61">
        <v>170</v>
      </c>
      <c r="B206" s="89" t="str" cm="1">
        <f t="array" aca="1" ref="B20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170),"")</f>
        <v/>
      </c>
      <c r="C206" s="89" t="str" cm="1">
        <f t="array" aca="1" ref="C206" ca="1">IF(B206="","",IF(INDIRECT("'"&amp;$Q$3&amp;"'!"&amp;$Q$6&amp;(B206+1))=1,"ON","OFF"))</f>
        <v/>
      </c>
      <c r="D206" s="90" t="str" cm="1">
        <f t="array" aca="1" ref="D206" ca="1">IF(B206="","",IFERROR((INDIRECT("'"&amp;$Q$3&amp;"'!A"&amp;(B206+1))-INDIRECT("'"&amp;$Q$3&amp;"'!A2"))*86400,""))</f>
        <v/>
      </c>
      <c r="E206" s="91" t="str">
        <f t="shared" ca="1" si="11"/>
        <v/>
      </c>
      <c r="G206" s="61">
        <v>170</v>
      </c>
      <c r="H206" s="89" t="str" cm="1">
        <f t="array" aca="1" ref="H20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170),"")</f>
        <v/>
      </c>
      <c r="I206" s="89" t="str" cm="1">
        <f t="array" aca="1" ref="I206" ca="1">IF(H206="","",IF(INDIRECT("'"&amp;$Q$3&amp;"'!"&amp;$Q$7&amp;(H206+1))=1,"ON","OFF"))</f>
        <v/>
      </c>
      <c r="J206" s="90" t="str" cm="1">
        <f t="array" aca="1" ref="J206" ca="1">IF(H206="","",IFERROR((INDIRECT("'"&amp;$Q$3&amp;"'!A"&amp;(H206+1))-INDIRECT("'"&amp;$Q$3&amp;"'!A2"))*86400,""))</f>
        <v/>
      </c>
      <c r="K206" s="91" t="str">
        <f t="shared" ca="1" si="12"/>
        <v/>
      </c>
    </row>
  </sheetData>
  <sheetProtection algorithmName="SHA-512" hashValue="GE3caZ0JjqyYyuw/Vwh/irfwSBxfRiwG5sXIy0sy/HPH8EkmbqkPSERbxNkJc1g7x2QNVJ7tUxV9+IrCXnmpGQ==" saltValue="SG22fjp+n3UfAHzAtyzibg==" spinCount="100000" sheet="1" objects="1" scenarios="1"/>
  <mergeCells count="10">
    <mergeCell ref="A24:D24"/>
    <mergeCell ref="A35:E35"/>
    <mergeCell ref="G35:K35"/>
    <mergeCell ref="X29:AA29"/>
    <mergeCell ref="A1:E1"/>
    <mergeCell ref="A14:E14"/>
    <mergeCell ref="G1:K1"/>
    <mergeCell ref="G14:K14"/>
    <mergeCell ref="A3:D3"/>
    <mergeCell ref="G3:J3"/>
  </mergeCells>
  <conditionalFormatting sqref="C37:C76">
    <cfRule type="expression" dxfId="3" priority="1">
      <formula>C37="ON"</formula>
    </cfRule>
    <cfRule type="expression" dxfId="2" priority="2">
      <formula>C37="OFF"</formula>
    </cfRule>
  </conditionalFormatting>
  <conditionalFormatting sqref="I37:I76">
    <cfRule type="expression" dxfId="1" priority="3">
      <formula>I37="ON"</formula>
    </cfRule>
    <cfRule type="expression" dxfId="0" priority="4">
      <formula>I37="OFF"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2285-CEF6-4A8A-97FE-E8736A38B559}">
  <dimension ref="A1:S994"/>
  <sheetViews>
    <sheetView workbookViewId="0"/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0.62923259259259257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0.62923270833333333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0.6292328240740741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0.62923305555555553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0.6292331712962963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0.62923328703703707</v>
      </c>
      <c r="B7" t="s">
        <v>2</v>
      </c>
      <c r="C7">
        <v>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0.62923340277777773</v>
      </c>
      <c r="B8" t="s">
        <v>2</v>
      </c>
      <c r="C8">
        <v>7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0.6292335185185185</v>
      </c>
      <c r="B9" t="s">
        <v>2</v>
      </c>
      <c r="C9">
        <v>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0.62923363425925927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0.62923375000000004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0.62923386574074069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0.62923398148148146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0.62923409722222223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0.629234212962963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0.62923432870370366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0.62923444444444443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0.6292345601851852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0.62923467592592597</v>
      </c>
      <c r="B19" t="s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0.62923479166666663</v>
      </c>
      <c r="B20" t="s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0.6292349074074074</v>
      </c>
      <c r="B21" t="s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0.62923502314814816</v>
      </c>
      <c r="B22" t="s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0.62923513888888893</v>
      </c>
      <c r="B23" t="s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0.62923525462962959</v>
      </c>
      <c r="B24" t="s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0.62923537037037036</v>
      </c>
      <c r="B25" t="s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0.62923548611111113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0.6292356018518519</v>
      </c>
      <c r="B27" t="s">
        <v>2</v>
      </c>
      <c r="C27">
        <v>26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0.62923571759259256</v>
      </c>
      <c r="B28" t="s">
        <v>2</v>
      </c>
      <c r="C28">
        <v>27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0.62923583333333333</v>
      </c>
      <c r="B29" t="s">
        <v>2</v>
      </c>
      <c r="C29">
        <v>28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0.6292359490740741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0.62923605324074072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0.62923616898148149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0.62923628472222226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0.62923640046296292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0.62923651620370369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0.62923663194444446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0.62923674768518523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0.62923686342592589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0.62923699074074069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0.62923709490740742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0.62923721064814819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0.62923732638888885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0.62923744212962962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0.62923755787037039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0.62923767361111116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0.62923780092592596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0.62923790509259259</v>
      </c>
      <c r="B47" t="s">
        <v>2</v>
      </c>
      <c r="C47">
        <v>46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0.62923802083333336</v>
      </c>
      <c r="B48" t="s">
        <v>2</v>
      </c>
      <c r="C48">
        <v>47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0.62923813657407413</v>
      </c>
      <c r="B49" t="s">
        <v>2</v>
      </c>
      <c r="C49">
        <v>48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0.62923825231481478</v>
      </c>
      <c r="B50" t="s">
        <v>1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0.62923836805555555</v>
      </c>
      <c r="B51" t="s">
        <v>1</v>
      </c>
      <c r="C51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0.62923848379629632</v>
      </c>
      <c r="B52" t="s">
        <v>1</v>
      </c>
      <c r="C52">
        <v>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0.62923859953703709</v>
      </c>
      <c r="B53" t="s">
        <v>1</v>
      </c>
      <c r="C53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0.62923871527777775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0.62923883101851852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0.62923894675925929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0.62923906249999995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0.62923917824074072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0.62923929398148148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0.62923940972222225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0.62923953703703706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0.62923964120370368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0.62923975694444445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0.62923987268518522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0.62923998842592588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0.62924010416666665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0.62924021990740742</v>
      </c>
      <c r="B67" t="s">
        <v>2</v>
      </c>
      <c r="C67">
        <v>66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0.62924033564814819</v>
      </c>
      <c r="B68" t="s">
        <v>2</v>
      </c>
      <c r="C68">
        <v>67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0.62924045138888884</v>
      </c>
      <c r="B69" t="s">
        <v>2</v>
      </c>
      <c r="C69">
        <v>68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0.62924056712962961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0.62924068287037038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0.62924079861111115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0.62924091435185181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0.62924103009259258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0.62924114583333335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0.62924126157407412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0.62924137731481478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0.62924149305555555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0.62924160879629631</v>
      </c>
      <c r="B79" t="s">
        <v>1</v>
      </c>
      <c r="C79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0.62924172453703708</v>
      </c>
      <c r="B80" t="s">
        <v>1</v>
      </c>
      <c r="C80">
        <v>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0.62924184027777774</v>
      </c>
      <c r="B81" t="s">
        <v>1</v>
      </c>
      <c r="C81">
        <v>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0.62924195601851851</v>
      </c>
      <c r="B82" t="s">
        <v>1</v>
      </c>
      <c r="C82">
        <v>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0.62924207175925928</v>
      </c>
      <c r="B83" t="s">
        <v>1</v>
      </c>
      <c r="C83">
        <v>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0.62924218750000005</v>
      </c>
      <c r="B84" t="s">
        <v>1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0.62924230324074071</v>
      </c>
      <c r="B85" t="s">
        <v>1</v>
      </c>
      <c r="C85">
        <v>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0.62924240740740744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0.6292425231481481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0.62924263888888887</v>
      </c>
      <c r="B88" t="s">
        <v>2</v>
      </c>
      <c r="C88">
        <v>87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0.62924276620370367</v>
      </c>
      <c r="B89" t="s">
        <v>2</v>
      </c>
      <c r="C89">
        <v>88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0.62924288194444444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0.62924299768518521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0.62924310185185184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0.62924321759259261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0.62924333333333338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0.62924344907407403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0.6292435648148148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0.62924368055555557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0.62924380787037038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0.629243912037037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0.62924402777777777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0.62924415509259257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0.62924425925925931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0.62924437499999997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0.62924461805555554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0.62924472222222227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0.62924483796296293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0.6292449537037037</v>
      </c>
      <c r="B107" t="s">
        <v>2</v>
      </c>
      <c r="C107">
        <v>106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0.62924506944444447</v>
      </c>
      <c r="B108" t="s">
        <v>2</v>
      </c>
      <c r="C108">
        <v>107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0.62924518518518524</v>
      </c>
      <c r="B109" t="s">
        <v>1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0.6292453009259259</v>
      </c>
      <c r="B110" t="s">
        <v>1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0.6292454282407407</v>
      </c>
      <c r="B111" t="s">
        <v>1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0.62924553240740744</v>
      </c>
      <c r="B112" t="s">
        <v>1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0.6292456481481481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0.62924576388888886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0.62924587962962963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0.6292459953703704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0.62924611111111106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0.62924622685185183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0.6292463425925926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0.62924645833333337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0.62924657407407403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0.6292466898148148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0.62924680555555557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0.62924692129629634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0.62924703703703699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0.62924715277777776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0.62924726851851853</v>
      </c>
      <c r="B127" t="s">
        <v>2</v>
      </c>
      <c r="C127">
        <v>126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0.6292473842592593</v>
      </c>
      <c r="B128" t="s">
        <v>2</v>
      </c>
      <c r="C128">
        <v>127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0.62924749999999996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0.62924761574074073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0.6292477314814815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0.62924784722222227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0.62924796296296293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0.62924807870370369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0.62924819444444446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0.62924831018518523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0.62924842592592589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0.62924854166666666</v>
      </c>
      <c r="B138" t="s">
        <v>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0.62924865740740743</v>
      </c>
      <c r="B139" t="s">
        <v>1</v>
      </c>
      <c r="C139">
        <v>138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0.6292487731481482</v>
      </c>
      <c r="B140" t="s">
        <v>1</v>
      </c>
      <c r="C140">
        <v>139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0.62924888888888886</v>
      </c>
      <c r="B141" t="s">
        <v>1</v>
      </c>
      <c r="C141">
        <v>140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0.62924900462962963</v>
      </c>
      <c r="B142" t="s">
        <v>1</v>
      </c>
      <c r="C142">
        <v>141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0.6292491203703704</v>
      </c>
      <c r="B143" t="s">
        <v>1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0.62924923611111117</v>
      </c>
      <c r="B144" t="s">
        <v>1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0.62924935185185182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0.62924946759259259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0.62924958333333336</v>
      </c>
      <c r="B147" t="s">
        <v>2</v>
      </c>
      <c r="C147">
        <v>146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0.62924969907407402</v>
      </c>
      <c r="B148" t="s">
        <v>2</v>
      </c>
      <c r="C148">
        <v>147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0.62924981481481479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0.62924993055555556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0.62925004629629633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0.62925016203703699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0.62925027777777776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0.62925038194444449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0.62925049768518515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0.62925061342592592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0.62925074074074072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0.62925084490740746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0.62925096064814812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0.62925107638888889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0.62925119212962966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0.62925130787037042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0.62925142361111108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0.62925153935185185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0.62925165509259262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0.62925178240740742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0.62925188657407405</v>
      </c>
      <c r="B167" t="s">
        <v>2</v>
      </c>
      <c r="C167">
        <v>166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0.62925200231481482</v>
      </c>
      <c r="B168" t="s">
        <v>2</v>
      </c>
      <c r="C168">
        <v>167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0.62925212962962962</v>
      </c>
      <c r="B169" t="s">
        <v>1</v>
      </c>
      <c r="C169">
        <v>168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0.62925223379629625</v>
      </c>
      <c r="B170" t="s">
        <v>1</v>
      </c>
      <c r="C170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0.62925234953703701</v>
      </c>
      <c r="B171" t="s">
        <v>1</v>
      </c>
      <c r="C171">
        <v>170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0.62925246527777778</v>
      </c>
      <c r="B172" t="s">
        <v>1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0.62925258101851855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0.62925269675925921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0.62925281249999998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0.62925292824074075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0.62925304398148152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0.62925315972222218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0.62925327546296295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0.62925339120370372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0.62925350694444449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0.62925362268518514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0.62925373842592591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0.62925385416666668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0.62925396990740745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0.62925408564814811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0.62925420138888888</v>
      </c>
      <c r="B187" t="s">
        <v>2</v>
      </c>
      <c r="C187">
        <v>186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0.62925431712962965</v>
      </c>
      <c r="B188" t="s">
        <v>2</v>
      </c>
      <c r="C188">
        <v>187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0.62925443287037042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0.62925454861111108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0.62925466435185184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0.62925476851851847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0.62925489583333338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0.62925501157407404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0.62925512731481481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0.62925524305555558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0.62925535879629635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0.62925547453703701</v>
      </c>
      <c r="B198" t="s">
        <v>1</v>
      </c>
      <c r="C198">
        <v>197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0.62925559027777778</v>
      </c>
      <c r="B199" t="s">
        <v>1</v>
      </c>
      <c r="C199">
        <v>198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0.62925570601851855</v>
      </c>
      <c r="B200" t="s">
        <v>1</v>
      </c>
      <c r="C200">
        <v>199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0.6292558217592592</v>
      </c>
      <c r="B201" t="s">
        <v>1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0.62925593749999997</v>
      </c>
      <c r="B202" t="s">
        <v>1</v>
      </c>
      <c r="C202">
        <v>201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0.62925616898148151</v>
      </c>
      <c r="B203" t="s">
        <v>1</v>
      </c>
      <c r="C203">
        <v>202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0.62925627314814814</v>
      </c>
      <c r="B204" t="s">
        <v>1</v>
      </c>
      <c r="C204">
        <v>203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0.62925640046296294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0.62925650462962968</v>
      </c>
      <c r="B206" t="s">
        <v>2</v>
      </c>
      <c r="C206">
        <v>205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0.62925663194444448</v>
      </c>
      <c r="B207" t="s">
        <v>2</v>
      </c>
      <c r="C207">
        <v>206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0.6292567361111111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0.62925686342592591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0.62925697916666667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0.62925709490740744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0.62925719907407407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0.62925732638888887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0.62925743055555561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0.62925754629629627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0.62925767361111107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0.6292577777777778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0.62925790509259261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0.62925802083333338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0.629258125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0.62925824074074077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0.62925835648148143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0.6292584722222222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0.629258599537037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0.62925870370370374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0.62925881944444439</v>
      </c>
      <c r="B226" t="s">
        <v>2</v>
      </c>
      <c r="C226">
        <v>225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0.62925893518518516</v>
      </c>
      <c r="B227" t="s">
        <v>2</v>
      </c>
      <c r="C227">
        <v>226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0.62925905092592593</v>
      </c>
      <c r="B228" t="s">
        <v>1</v>
      </c>
      <c r="C228">
        <v>227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0.6292591666666667</v>
      </c>
      <c r="B229" t="s">
        <v>1</v>
      </c>
      <c r="C229">
        <v>228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0.62925928240740736</v>
      </c>
      <c r="B230" t="s">
        <v>1</v>
      </c>
      <c r="C230">
        <v>229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0.62925939814814813</v>
      </c>
      <c r="B231" t="s">
        <v>1</v>
      </c>
      <c r="C231">
        <v>230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0.6292595138888889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0.62925962962962967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0.62925974537037033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0.6292598611111111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0.62925997685185187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0.62926009259259263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0.62926020833333329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0.62926032407407406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0.62926043981481483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0.6292605555555556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0.62926067129629626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0.62926078703703703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0.6292609027777778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0.62926101851851857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0.62926113425925922</v>
      </c>
      <c r="B246" t="s">
        <v>2</v>
      </c>
      <c r="C246">
        <v>245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0.62926124999999999</v>
      </c>
      <c r="B247" t="s">
        <v>2</v>
      </c>
      <c r="C247">
        <v>246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0.62926136574074076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0.62926148148148153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0.62926159722222219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0.62926171296296296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0.62926182870370373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0.6292619444444445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0.62926206018518516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0.62926217592592593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0.6292622916666667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0.62926240740740735</v>
      </c>
      <c r="B257" t="s">
        <v>1</v>
      </c>
      <c r="C257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0.62926252314814812</v>
      </c>
      <c r="B258" t="s">
        <v>1</v>
      </c>
      <c r="C258">
        <v>257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0.62926263888888889</v>
      </c>
      <c r="B259" t="s">
        <v>1</v>
      </c>
      <c r="C259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0.62926275462962966</v>
      </c>
      <c r="B260" t="s">
        <v>1</v>
      </c>
      <c r="C260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0.62926287037037032</v>
      </c>
      <c r="B261" t="s">
        <v>1</v>
      </c>
      <c r="C261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0.62926298611111109</v>
      </c>
      <c r="B262" t="s">
        <v>1</v>
      </c>
      <c r="C262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0.62926310185185186</v>
      </c>
      <c r="B263" t="s">
        <v>1</v>
      </c>
      <c r="C263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0.62926321759259263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0.62926332175925925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0.62926343750000002</v>
      </c>
      <c r="B266" t="s">
        <v>2</v>
      </c>
      <c r="C266">
        <v>265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0.62926356481481482</v>
      </c>
      <c r="B267" t="s">
        <v>2</v>
      </c>
      <c r="C267">
        <v>266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0.62926366898148145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0.62926379629629625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0.62926391203703702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0.62926401620370376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0.62926414351851856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0.62926425925925922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0.62926437499999999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0.62926449074074076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0.62926460648148153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0.62926471064814815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0.62926482638888892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0.62926494212962958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0.62926505787037035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0.62926518518518515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0.62926528935185189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0.62926540509259254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0.62926552083333331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0.62926563657407408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0.62926575231481485</v>
      </c>
      <c r="B286" t="s">
        <v>2</v>
      </c>
      <c r="C286">
        <v>285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0.62926586805555551</v>
      </c>
      <c r="B287" t="s">
        <v>2</v>
      </c>
      <c r="C287">
        <v>286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0.62926598379629628</v>
      </c>
      <c r="B288" t="s">
        <v>1</v>
      </c>
      <c r="C288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0.62926609953703705</v>
      </c>
      <c r="B289" t="s">
        <v>1</v>
      </c>
      <c r="C289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0.62926621527777782</v>
      </c>
      <c r="B290" t="s">
        <v>1</v>
      </c>
      <c r="C290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0.62926633101851848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0.62926644675925925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0.62926656250000002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0.62926667824074078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0.62926679398148144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0.62926690972222221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0.62926702546296298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0.62926714120370375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0.62926725694444441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0.62926737268518518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0.62926748842592595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0.62926771990740737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0.62926783564814814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0.62926795138888891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0.62926806712962968</v>
      </c>
      <c r="B305" t="s">
        <v>2</v>
      </c>
      <c r="C305">
        <v>304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0.62926818287037034</v>
      </c>
      <c r="B306" t="s">
        <v>2</v>
      </c>
      <c r="C306">
        <v>305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0.62926829861111111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0.62926841435185188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0.62926853009259254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0.62926864583333331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0.62926876157407408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0.62926887731481485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0.6292689930555555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0.62926910879629627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0.62926922453703704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0.62926934027777781</v>
      </c>
      <c r="B316" t="s">
        <v>1</v>
      </c>
      <c r="C316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0.62926945601851847</v>
      </c>
      <c r="B317" t="s">
        <v>1</v>
      </c>
      <c r="C317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0.62926957175925924</v>
      </c>
      <c r="B318" t="s">
        <v>1</v>
      </c>
      <c r="C318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0.62926968750000001</v>
      </c>
      <c r="B319" t="s">
        <v>1</v>
      </c>
      <c r="C319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0.62926980324074078</v>
      </c>
      <c r="B320" t="s">
        <v>1</v>
      </c>
      <c r="C320">
        <v>319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0.62926991898148144</v>
      </c>
      <c r="B321" t="s">
        <v>1</v>
      </c>
      <c r="C321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0.6292700347222222</v>
      </c>
      <c r="B322" t="s">
        <v>1</v>
      </c>
      <c r="C322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0.62927015046296297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0.62927026620370374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0.6292703819444444</v>
      </c>
      <c r="B325" t="s">
        <v>2</v>
      </c>
      <c r="C325">
        <v>324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0.62927049768518517</v>
      </c>
      <c r="B326" t="s">
        <v>2</v>
      </c>
      <c r="C326">
        <v>325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0.62927061342592594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0.62927072916666671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0.62927084490740737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0.62927096064814814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0.62927106481481476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0.62927118055555553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0.62927130787037033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0.62927141203703707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0.62927153935185187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0.6292716435185185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0.62927175925925927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0.62927187500000004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0.62927199074074069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0.62927210648148146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0.62927222222222223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0.629272337962963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0.62927245370370366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0.62927256944444443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0.6292726851851852</v>
      </c>
      <c r="B345" t="s">
        <v>2</v>
      </c>
      <c r="C345">
        <v>344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0.62927280092592597</v>
      </c>
      <c r="B346" t="s">
        <v>2</v>
      </c>
      <c r="C346">
        <v>345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0.62927291666666663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0.6292730324074074</v>
      </c>
      <c r="B348" t="s">
        <v>1</v>
      </c>
      <c r="C348">
        <v>347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0.62927314814814816</v>
      </c>
      <c r="B349" t="s">
        <v>1</v>
      </c>
      <c r="C349">
        <v>348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0.62927326388888893</v>
      </c>
      <c r="B350" t="s">
        <v>1</v>
      </c>
      <c r="C350">
        <v>349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0.62927337962962959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0.62927349537037036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0.62927361111111113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0.6292737268518519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0.62927384259259256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0.62927395833333333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0.6292740740740741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0.62927418981481487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0.62927430555555552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0.62927442129629629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0.62927453703703706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0.62927465277777783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0.62927476851851849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0.62927488425925926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0.62927500000000003</v>
      </c>
      <c r="B365" t="s">
        <v>2</v>
      </c>
      <c r="C365">
        <v>364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0.62927511574074069</v>
      </c>
      <c r="B366" t="s">
        <v>2</v>
      </c>
      <c r="C366">
        <v>365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0.62927523148148146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0.62927534722222223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0.62927546296296299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0.62927557870370365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0.62927569444444442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0.62927581018518519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0.62927592592592596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0.62927604166666662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0.62927615740740739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0.62927627314814816</v>
      </c>
      <c r="B376" t="s">
        <v>1</v>
      </c>
      <c r="C376">
        <v>375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0.62927638888888893</v>
      </c>
      <c r="B377" t="s">
        <v>1</v>
      </c>
      <c r="C377">
        <v>376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0.62927650462962958</v>
      </c>
      <c r="B378" t="s">
        <v>1</v>
      </c>
      <c r="C378">
        <v>377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0.62927662037037035</v>
      </c>
      <c r="B379" t="s">
        <v>1</v>
      </c>
      <c r="C379">
        <v>378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0.62927672453703709</v>
      </c>
      <c r="B380" t="s">
        <v>1</v>
      </c>
      <c r="C380">
        <v>379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0.62927684027777775</v>
      </c>
      <c r="B381" t="s">
        <v>1</v>
      </c>
      <c r="C381">
        <v>380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0.62927696759259255</v>
      </c>
      <c r="B382" t="s">
        <v>1</v>
      </c>
      <c r="C382">
        <v>381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0.62927708333333332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0.62927719907407409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0.62927731481481486</v>
      </c>
      <c r="B385" t="s">
        <v>2</v>
      </c>
      <c r="C385">
        <v>384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0.62927743055555552</v>
      </c>
      <c r="B386" t="s">
        <v>2</v>
      </c>
      <c r="C386">
        <v>385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0.62927753472222225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0.62927765046296291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0.62927776620370368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0.62927788194444445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0.62927799768518522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0.62927811342592588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0.62927822916666665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0.62927834490740742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0.62927846064814819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0.62927857638888884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0.62927869212962961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0.62927880787037038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0.62927892361111115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0.62927903935185181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0.62927927083333335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0.62927939814814815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0.62927950231481478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0.62927961805555555</v>
      </c>
      <c r="B404" t="s">
        <v>2</v>
      </c>
      <c r="C404">
        <v>403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0.62927973379629631</v>
      </c>
      <c r="B405" t="s">
        <v>2</v>
      </c>
      <c r="C405">
        <v>404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0.62927984953703708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0.62927996527777774</v>
      </c>
      <c r="B407" t="s">
        <v>1</v>
      </c>
      <c r="C407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0.62928008101851851</v>
      </c>
      <c r="B408" t="s">
        <v>1</v>
      </c>
      <c r="C408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0.62928019675925928</v>
      </c>
      <c r="B409" t="s">
        <v>1</v>
      </c>
      <c r="C409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0.62928031250000005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0.62928042824074071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0.62928054398148148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0.62928065972222225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0.62928077546296302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0.62928089120370367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0.62928100694444444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0.62928112268518521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0.62928123842592587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0.62928135416666664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0.62928146990740741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0.62928158564814818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0.62928170138888884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0.62928181712962961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0.62928193287037038</v>
      </c>
      <c r="B424" t="s">
        <v>2</v>
      </c>
      <c r="C424">
        <v>423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0.62928204861111114</v>
      </c>
      <c r="B425" t="s">
        <v>2</v>
      </c>
      <c r="C425">
        <v>424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0.6292821643518518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0.62928228009259257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0.62928239583333334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0.62928251157407411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0.62928262731481477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0.62928274305555554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0.62928285879629631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0.62928297453703708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0.62928309027777773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0.6292832060185185</v>
      </c>
      <c r="B435" t="s">
        <v>1</v>
      </c>
      <c r="C435">
        <v>434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0.62928331018518524</v>
      </c>
      <c r="B436" t="s">
        <v>1</v>
      </c>
      <c r="C436">
        <v>435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0.62928343750000004</v>
      </c>
      <c r="B437" t="s">
        <v>1</v>
      </c>
      <c r="C437">
        <v>436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0.6292835532407407</v>
      </c>
      <c r="B438" t="s">
        <v>1</v>
      </c>
      <c r="C438">
        <v>437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0.62928366898148147</v>
      </c>
      <c r="B439" t="s">
        <v>1</v>
      </c>
      <c r="C439">
        <v>438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0.62928378472222224</v>
      </c>
      <c r="B440" t="s">
        <v>1</v>
      </c>
      <c r="C440">
        <v>439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0.62928390046296301</v>
      </c>
      <c r="B441" t="s">
        <v>1</v>
      </c>
      <c r="C441">
        <v>440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0.62928400462962963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0.6292841203703704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0.62928424768518521</v>
      </c>
      <c r="B444" t="s">
        <v>2</v>
      </c>
      <c r="C444">
        <v>443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0.62928436342592597</v>
      </c>
      <c r="B445" t="s">
        <v>2</v>
      </c>
      <c r="C445">
        <v>444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0.62928447916666663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0.6292845949074074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0.62928469907407403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0.6292848148148148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0.6292849421296296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0.62928505787037037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0.62928517361111114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0.62928527777777776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0.62928540509259256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0.62928552083333333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0.62928562499999996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0.62928575231481476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0.62928586805555553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0.62928597222222227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0.62928608796296293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0.62928620370370369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0.62928631944444446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0.62928643518518523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0.62928655092592589</v>
      </c>
      <c r="B464" t="s">
        <v>2</v>
      </c>
      <c r="C464">
        <v>463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0.62928666666666666</v>
      </c>
      <c r="B465" t="s">
        <v>2</v>
      </c>
      <c r="C465">
        <v>464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0.62928678240740743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0.6292868981481482</v>
      </c>
      <c r="B467" t="s">
        <v>1</v>
      </c>
      <c r="C467">
        <v>466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0.62928701388888886</v>
      </c>
      <c r="B468" t="s">
        <v>1</v>
      </c>
      <c r="C468">
        <v>467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0.62928712962962963</v>
      </c>
      <c r="B469" t="s">
        <v>1</v>
      </c>
      <c r="C469">
        <v>468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0.6292872453703704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0.62928736111111117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0.62928747685185182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0.62928759259259259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0.62928770833333336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0.62928782407407402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0.62928793981481479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0.62928805555555556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0.62928817129629633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0.62928828703703699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0.62928840277777776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0.62928851851851852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0.62928863425925929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0.62928874999999995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0.62928886574074072</v>
      </c>
      <c r="B484" t="s">
        <v>2</v>
      </c>
      <c r="C484">
        <v>483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0.62928898148148149</v>
      </c>
      <c r="B485" t="s">
        <v>2</v>
      </c>
      <c r="C485">
        <v>484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0.62928909722222226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0.62928921296296292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0.62928932870370369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0.62928944444444446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0.62928956018518523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0.62928967592592588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0.62928979166666665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0.62928990740740742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0.62929002314814819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0.62929013888888885</v>
      </c>
      <c r="B495" t="s">
        <v>1</v>
      </c>
      <c r="C495">
        <v>494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0.62929025462962962</v>
      </c>
      <c r="B496" t="s">
        <v>1</v>
      </c>
      <c r="C496">
        <v>495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0.62929037037037039</v>
      </c>
      <c r="B497" t="s">
        <v>1</v>
      </c>
      <c r="C497">
        <v>496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0.62929048611111116</v>
      </c>
      <c r="B498" t="s">
        <v>1</v>
      </c>
      <c r="C498">
        <v>497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0.62929060185185182</v>
      </c>
      <c r="B499" t="s">
        <v>1</v>
      </c>
      <c r="C499">
        <v>498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0.62929083333333335</v>
      </c>
      <c r="B500" t="s">
        <v>1</v>
      </c>
      <c r="C500">
        <v>499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0.62929094907407412</v>
      </c>
      <c r="B501" t="s">
        <v>1</v>
      </c>
      <c r="C501">
        <v>500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0.62929106481481478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0.62929118055555555</v>
      </c>
      <c r="B503" t="s">
        <v>2</v>
      </c>
      <c r="C503">
        <v>502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0.62929129629629632</v>
      </c>
      <c r="B504" t="s">
        <v>2</v>
      </c>
      <c r="C504">
        <v>503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0.62929141203703709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0.62929152777777775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0.62929164351851852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0.62929175925925929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0.62929186342592591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0.62929197916666668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0.62929209490740745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0.62929222222222225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0.62929232638888888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0.62929244212962965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0.62929255787037042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0.62929267361111108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0.62929278935185184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0.62929290509259261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0.62929302083333338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0.62929313657407404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0.62929325231481481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0.62929336805555558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0.62929348379629635</v>
      </c>
      <c r="B523" t="s">
        <v>2</v>
      </c>
      <c r="C523">
        <v>522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0.62929359953703701</v>
      </c>
      <c r="B524" t="s">
        <v>2</v>
      </c>
      <c r="C524">
        <v>523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0.62929371527777778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0.62929383101851855</v>
      </c>
      <c r="B526" t="s">
        <v>1</v>
      </c>
      <c r="C526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0.6292939467592592</v>
      </c>
      <c r="B527" t="s">
        <v>1</v>
      </c>
      <c r="C527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0.62929406249999997</v>
      </c>
      <c r="B528" t="s">
        <v>1</v>
      </c>
      <c r="C528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0.62929417824074074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0.62929429398148151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0.62929440972222217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0.62929452546296294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0.62929464120370371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0.62929475694444448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0.62929487268518514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0.62929498842592591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0.62929510416666667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0.62929521990740744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0.6292953356481481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0.62929545138888887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0.62929556712962964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0.62929568287037041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0.62929579861111107</v>
      </c>
      <c r="B543" t="s">
        <v>2</v>
      </c>
      <c r="C543">
        <v>542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0.62929591435185184</v>
      </c>
      <c r="B544" t="s">
        <v>2</v>
      </c>
      <c r="C544">
        <v>543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0.62929603009259261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0.62929614583333338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0.62929626157407403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0.6292963773148148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0.62929649305555557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0.62929660879629634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0.629296724537037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0.62929684027777777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0.62929695601851854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0.62929707175925931</v>
      </c>
      <c r="B554" t="s">
        <v>1</v>
      </c>
      <c r="C554">
        <v>553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0.62929718749999997</v>
      </c>
      <c r="B555" t="s">
        <v>1</v>
      </c>
      <c r="C555">
        <v>554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0.62929730324074074</v>
      </c>
      <c r="B556" t="s">
        <v>1</v>
      </c>
      <c r="C556">
        <v>555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0.6292974189814815</v>
      </c>
      <c r="B557" t="s">
        <v>1</v>
      </c>
      <c r="C557">
        <v>556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0.62929753472222227</v>
      </c>
      <c r="B558" t="s">
        <v>1</v>
      </c>
      <c r="C558">
        <v>557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0.6292976388888889</v>
      </c>
      <c r="B559" t="s">
        <v>1</v>
      </c>
      <c r="C559">
        <v>558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0.62929775462962967</v>
      </c>
      <c r="B560" t="s">
        <v>1</v>
      </c>
      <c r="C560">
        <v>559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0.62929788194444447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0.62929799768518524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0.6292981134259259</v>
      </c>
      <c r="B563" t="s">
        <v>2</v>
      </c>
      <c r="C563">
        <v>562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0.62929822916666667</v>
      </c>
      <c r="B564" t="s">
        <v>2</v>
      </c>
      <c r="C564">
        <v>563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0.62929833333333329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0.62929844907407406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0.62929857638888886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0.62929869212962963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0.6292988078703704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0.62929892361111106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0.6292990277777778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0.62929914351851857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0.62929925925925922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0.62929938657407403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0.6292995023148148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0.62929960648148153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0.62929973379629633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0.62929983796296296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0.62929995370370373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0.6293000694444445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0.62930018518518516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0.62930030092592593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0.6293004166666667</v>
      </c>
      <c r="B583" t="s">
        <v>2</v>
      </c>
      <c r="C583">
        <v>582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0.62930053240740735</v>
      </c>
      <c r="B584" t="s">
        <v>2</v>
      </c>
      <c r="C584">
        <v>583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0.62930064814814812</v>
      </c>
      <c r="B585" t="s">
        <v>1</v>
      </c>
      <c r="C585">
        <v>584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0.62930076388888889</v>
      </c>
      <c r="B586" t="s">
        <v>1</v>
      </c>
      <c r="C586">
        <v>585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0.62930087962962966</v>
      </c>
      <c r="B587" t="s">
        <v>1</v>
      </c>
      <c r="C587">
        <v>586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0.62930099537037032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0.62930111111111109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0.62930122685185186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0.62930134259259263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0.62930145833333329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0.62930157407407405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0.62930168981481482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0.62930180555555559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0.62930192129629625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0.62930203703703702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0.62930215277777779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0.62930238425925922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0.62930249999999999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0.62930261574074076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0.62930273148148153</v>
      </c>
      <c r="B602" t="s">
        <v>2</v>
      </c>
      <c r="C602">
        <v>601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0.62930284722222218</v>
      </c>
      <c r="B603" t="s">
        <v>2</v>
      </c>
      <c r="C603">
        <v>602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0.62930296296296295</v>
      </c>
      <c r="B604" t="s">
        <v>2</v>
      </c>
      <c r="C604">
        <v>603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0.62930307870370372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0.62930319444444449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0.62930331018518515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0.62930342592592592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0.62930354166666669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0.62930365740740746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0.62930377314814812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0.62930388888888888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0.62930400462962965</v>
      </c>
      <c r="B613" t="s">
        <v>1</v>
      </c>
      <c r="C613">
        <v>612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0.62930412037037042</v>
      </c>
      <c r="B614" t="s">
        <v>1</v>
      </c>
      <c r="C614">
        <v>613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0.62930423611111108</v>
      </c>
      <c r="B615" t="s">
        <v>1</v>
      </c>
      <c r="C615">
        <v>614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0.62930435185185185</v>
      </c>
      <c r="B616" t="s">
        <v>1</v>
      </c>
      <c r="C616">
        <v>615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0.62930446759259262</v>
      </c>
      <c r="B617" t="s">
        <v>1</v>
      </c>
      <c r="C617">
        <v>616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0.62930458333333328</v>
      </c>
      <c r="B618" t="s">
        <v>1</v>
      </c>
      <c r="C618">
        <v>617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0.62930469907407405</v>
      </c>
      <c r="B619" t="s">
        <v>1</v>
      </c>
      <c r="C619">
        <v>618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0.62930481481481482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0.62930491898148144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0.62930504629629624</v>
      </c>
      <c r="B622" t="s">
        <v>2</v>
      </c>
      <c r="C622">
        <v>621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0.62930516203703701</v>
      </c>
      <c r="B623" t="s">
        <v>2</v>
      </c>
      <c r="C623">
        <v>622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0.62930527777777778</v>
      </c>
      <c r="B624" t="s">
        <v>2</v>
      </c>
      <c r="C624">
        <v>623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0.62930538194444441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0.62930549768518518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0.62930561342592595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0.62930572916666672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0.62930585648148152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0.62930596064814814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0.62930608796296295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0.62930619212962968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0.62930630787037034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0.62930642361111111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0.62930653935185188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0.62930665509259254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0.62930677083333331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0.62930688657407408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0.62930700231481485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0.6293071180555555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0.62930723379629627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0.62930734953703704</v>
      </c>
      <c r="B642" t="s">
        <v>2</v>
      </c>
      <c r="C642">
        <v>641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0.62930746527777781</v>
      </c>
      <c r="B643" t="s">
        <v>2</v>
      </c>
      <c r="C643">
        <v>642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0.62930758101851847</v>
      </c>
      <c r="B644" t="s">
        <v>2</v>
      </c>
      <c r="C644">
        <v>643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0.62930769675925924</v>
      </c>
      <c r="B645" t="s">
        <v>1</v>
      </c>
      <c r="C645">
        <v>644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0.62930781250000001</v>
      </c>
      <c r="B646" t="s">
        <v>1</v>
      </c>
      <c r="C646">
        <v>645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0.62930792824074078</v>
      </c>
      <c r="B647" t="s">
        <v>1</v>
      </c>
      <c r="C647">
        <v>646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0.62930804398148144</v>
      </c>
      <c r="B648" t="s">
        <v>1</v>
      </c>
      <c r="C648">
        <v>647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0.6293081597222222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0.62930827546296297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0.62930839120370374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0.6293085069444444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0.62930862268518517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0.62930873842592594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0.62930885416666671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0.62930896990740737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0.62930908564814814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0.62930920138888891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0.62930931712962968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0.62930943287037033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0.6293095486111111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0.62930966435185187</v>
      </c>
      <c r="B662" t="s">
        <v>2</v>
      </c>
      <c r="C662">
        <v>661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0.62930978009259264</v>
      </c>
      <c r="B663" t="s">
        <v>2</v>
      </c>
      <c r="C663">
        <v>662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0.6293098958333333</v>
      </c>
      <c r="B664" t="s">
        <v>2</v>
      </c>
      <c r="C664">
        <v>663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0.62931001157407407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0.62931012731481484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0.62931024305555561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0.62931035879629627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0.62931047453703703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0.6293105902777778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0.62931070601851857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0.62931082175925923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0.6293109375</v>
      </c>
      <c r="B673" t="s">
        <v>1</v>
      </c>
      <c r="C673">
        <v>672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0.62931105324074077</v>
      </c>
      <c r="B674" t="s">
        <v>1</v>
      </c>
      <c r="C674">
        <v>673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0.62931116898148143</v>
      </c>
      <c r="B675" t="s">
        <v>1</v>
      </c>
      <c r="C675">
        <v>674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0.6293112847222222</v>
      </c>
      <c r="B676" t="s">
        <v>1</v>
      </c>
      <c r="C676">
        <v>675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0.62931140046296297</v>
      </c>
      <c r="B677" t="s">
        <v>1</v>
      </c>
      <c r="C677">
        <v>676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0.62931151620370374</v>
      </c>
      <c r="B678" t="s">
        <v>1</v>
      </c>
      <c r="C678">
        <v>677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0.62931163194444439</v>
      </c>
      <c r="B679" t="s">
        <v>1</v>
      </c>
      <c r="C679">
        <v>678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0.62931174768518516</v>
      </c>
      <c r="B680" t="s">
        <v>1</v>
      </c>
      <c r="C680">
        <v>679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0.6293118518518519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0.6293119791666667</v>
      </c>
      <c r="B682" t="s">
        <v>2</v>
      </c>
      <c r="C682">
        <v>681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0.62931208333333333</v>
      </c>
      <c r="B683" t="s">
        <v>2</v>
      </c>
      <c r="C683">
        <v>682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0.6293121990740741</v>
      </c>
      <c r="B684" t="s">
        <v>2</v>
      </c>
      <c r="C684">
        <v>683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0.62931231481481487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0.62931243055555552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0.62931254629629629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0.62931266203703706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0.62931277777777783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0.62931290509259263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0.62931300925925926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0.62931312500000003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0.62931324074074069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0.6293133680555556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0.62931347222222223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0.62931358796296299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0.62931370370370365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0.62931393518518519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0.62931405092592596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0.62931416666666662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0.62931428240740739</v>
      </c>
      <c r="B701" t="s">
        <v>2</v>
      </c>
      <c r="C701">
        <v>700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0.62931439814814816</v>
      </c>
      <c r="B702" t="s">
        <v>2</v>
      </c>
      <c r="C702">
        <v>701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0.62931451388888893</v>
      </c>
      <c r="B703" t="s">
        <v>2</v>
      </c>
      <c r="C703">
        <v>702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0.62931462962962958</v>
      </c>
      <c r="B704" t="s">
        <v>1</v>
      </c>
      <c r="C704">
        <v>703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0.62931474537037035</v>
      </c>
      <c r="B705" t="s">
        <v>1</v>
      </c>
      <c r="C705">
        <v>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0.62931486111111112</v>
      </c>
      <c r="B706" t="s">
        <v>1</v>
      </c>
      <c r="C706">
        <v>705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0.62931497685185189</v>
      </c>
      <c r="B707" t="s">
        <v>1</v>
      </c>
      <c r="C707">
        <v>706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0.62931509259259255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0.62931520833333332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0.62931532407407409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0.62931543981481486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0.62931555555555552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0.62931567129629629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0.62931578703703706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0.62931590277777782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0.62931601851851848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0.62931613425925925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0.62931625000000002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0.62931636574074079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0.62931648148148145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0.62931659722222222</v>
      </c>
      <c r="B721" t="s">
        <v>2</v>
      </c>
      <c r="C721">
        <v>720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0.62931671296296299</v>
      </c>
      <c r="B722" t="s">
        <v>2</v>
      </c>
      <c r="C722">
        <v>721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0.62931682870370376</v>
      </c>
      <c r="B723" t="s">
        <v>2</v>
      </c>
      <c r="C723">
        <v>722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0.62931694444444441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0.62931706018518518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0.62931717592592595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0.62931729166666661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0.62931740740740738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0.62931752314814815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0.62931763888888892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0.62931775462962958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0.62931787037037035</v>
      </c>
      <c r="B732" t="s">
        <v>1</v>
      </c>
      <c r="C732">
        <v>731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0.62931798611111112</v>
      </c>
      <c r="B733" t="s">
        <v>1</v>
      </c>
      <c r="C733">
        <v>732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0.62931810185185189</v>
      </c>
      <c r="B734" t="s">
        <v>1</v>
      </c>
      <c r="C734">
        <v>733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0.62931821759259254</v>
      </c>
      <c r="B735" t="s">
        <v>1</v>
      </c>
      <c r="C735">
        <v>734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0.62931833333333331</v>
      </c>
      <c r="B736" t="s">
        <v>1</v>
      </c>
      <c r="C736">
        <v>735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0.62931844907407408</v>
      </c>
      <c r="B737" t="s">
        <v>1</v>
      </c>
      <c r="C737">
        <v>736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0.62931856481481485</v>
      </c>
      <c r="B738" t="s">
        <v>1</v>
      </c>
      <c r="C738">
        <v>737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0.62931868055555551</v>
      </c>
      <c r="B739" t="s">
        <v>1</v>
      </c>
      <c r="C739">
        <v>738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0.62931879629629628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0.62931891203703705</v>
      </c>
      <c r="B741" t="s">
        <v>2</v>
      </c>
      <c r="C741">
        <v>740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0.62931901620370367</v>
      </c>
      <c r="B742" t="s">
        <v>2</v>
      </c>
      <c r="C742">
        <v>741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0.62931914351851848</v>
      </c>
      <c r="B743" t="s">
        <v>2</v>
      </c>
      <c r="C743">
        <v>742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0.62931925925925924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0.62931937500000001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0.62931949074074078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0.62931960648148144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0.62931971064814818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0.62931982638888884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0.62931994212962961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0.62932005787037038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0.62932018518518518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0.62932030092592595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0.62932040509259257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0.62932052083333334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0.62932063657407411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0.62932075231481477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0.62932086805555554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0.62932098379629631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0.62932109953703708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0.62932121527777773</v>
      </c>
      <c r="B761" t="s">
        <v>2</v>
      </c>
      <c r="C761">
        <v>760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0.6293213310185185</v>
      </c>
      <c r="B762" t="s">
        <v>2</v>
      </c>
      <c r="C762">
        <v>761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0.62932144675925927</v>
      </c>
      <c r="B763" t="s">
        <v>2</v>
      </c>
      <c r="C763">
        <v>762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0.62932156250000004</v>
      </c>
      <c r="B764" t="s">
        <v>1</v>
      </c>
      <c r="C764">
        <v>763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0.6293216782407407</v>
      </c>
      <c r="B765" t="s">
        <v>1</v>
      </c>
      <c r="C765">
        <v>764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0.62932179398148147</v>
      </c>
      <c r="B766" t="s">
        <v>1</v>
      </c>
      <c r="C766">
        <v>765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0.62932190972222224</v>
      </c>
      <c r="B767" t="s">
        <v>1</v>
      </c>
      <c r="C767">
        <v>766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0.62932202546296301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0.62932214120370367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0.62932225694444444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0.62932237268518521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0.62932248842592597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0.62932260416666663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0.6293227199074074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0.62932283564814817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0.62932295138888894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0.6293230671296296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0.62932318287037037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0.62932329861111114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0.62932341435185191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0.62932353009259256</v>
      </c>
      <c r="B781" t="s">
        <v>2</v>
      </c>
      <c r="C781">
        <v>780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0.62932364583333333</v>
      </c>
      <c r="B782" t="s">
        <v>2</v>
      </c>
      <c r="C782">
        <v>781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0.6293237615740741</v>
      </c>
      <c r="B783" t="s">
        <v>2</v>
      </c>
      <c r="C783">
        <v>782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0.62932387731481476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0.62932399305555553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0.62932409722222227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0.62932422453703707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0.62932432870370369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0.62932444444444446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0.62932457175925927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0.62932468750000004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0.62932480324074069</v>
      </c>
      <c r="B792" t="s">
        <v>1</v>
      </c>
      <c r="C792">
        <v>791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0.62932491898148146</v>
      </c>
      <c r="B793" t="s">
        <v>1</v>
      </c>
      <c r="C793">
        <v>792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0.62932503472222223</v>
      </c>
      <c r="B794" t="s">
        <v>1</v>
      </c>
      <c r="C794">
        <v>793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0.629325150462963</v>
      </c>
      <c r="B795" t="s">
        <v>1</v>
      </c>
      <c r="C795">
        <v>794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0.62932526620370366</v>
      </c>
      <c r="B796" t="s">
        <v>1</v>
      </c>
      <c r="C796">
        <v>795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0.6293254976851852</v>
      </c>
      <c r="B797" t="s">
        <v>1</v>
      </c>
      <c r="C797">
        <v>796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0.62932561342592597</v>
      </c>
      <c r="B798" t="s">
        <v>1</v>
      </c>
      <c r="C798">
        <v>797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0.62932572916666663</v>
      </c>
      <c r="B799" t="s">
        <v>1</v>
      </c>
      <c r="C799">
        <v>798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0.62932584490740739</v>
      </c>
      <c r="B800" t="s">
        <v>2</v>
      </c>
      <c r="C800">
        <v>799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0.62932596064814816</v>
      </c>
      <c r="B801" t="s">
        <v>2</v>
      </c>
      <c r="C801">
        <v>800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0.62932607638888893</v>
      </c>
      <c r="B802" t="s">
        <v>2</v>
      </c>
      <c r="C802">
        <v>801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0.62932619212962959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0.62932629629629633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0.62932641203703699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0.62932652777777776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0.62932665509259256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0.62932677083333333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0.6293268865740741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0.62932699074074072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0.62932710648148149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0.62932722222222226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0.62932733796296292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0.62932745370370369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0.62932756944444446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0.62932768518518523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0.62932780092592588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0.62932791666666665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0.62932803240740742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0.62932814814814819</v>
      </c>
      <c r="B820" t="s">
        <v>2</v>
      </c>
      <c r="C820">
        <v>819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0.62932826388888885</v>
      </c>
      <c r="B821" t="s">
        <v>2</v>
      </c>
      <c r="C821">
        <v>820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0.62932837962962962</v>
      </c>
      <c r="B822" t="s">
        <v>2</v>
      </c>
      <c r="C822">
        <v>821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0.62932849537037039</v>
      </c>
      <c r="B823" t="s">
        <v>1</v>
      </c>
      <c r="C823">
        <v>822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0.62932861111111116</v>
      </c>
      <c r="B824" t="s">
        <v>1</v>
      </c>
      <c r="C824">
        <v>823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0.62932872685185182</v>
      </c>
      <c r="B825" t="s">
        <v>1</v>
      </c>
      <c r="C825">
        <v>824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0.62932884259259259</v>
      </c>
      <c r="B826" t="s">
        <v>1</v>
      </c>
      <c r="C826">
        <v>825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0.62932895833333335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0.62932907407407412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0.62932918981481478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0.62932930555555555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0.62932942129629632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0.62932953703703709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0.62932965277777775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0.62932976851851852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0.62932988425925929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0.62932999999999995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0.62933011574074071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0.62933023148148148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0.62933034722222225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0.62933046296296291</v>
      </c>
      <c r="B840" t="s">
        <v>2</v>
      </c>
      <c r="C840">
        <v>839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0.62933057870370368</v>
      </c>
      <c r="B841" t="s">
        <v>2</v>
      </c>
      <c r="C841">
        <v>840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0.62933069444444445</v>
      </c>
      <c r="B842" t="s">
        <v>2</v>
      </c>
      <c r="C842">
        <v>841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0.62933081018518522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0.62933092592592588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0.62933104166666665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0.62933115740740742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0.62933127314814818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0.62933138888888884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0.62933150462962961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0.62933162037037038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0.62933173611111115</v>
      </c>
      <c r="B851" t="s">
        <v>1</v>
      </c>
      <c r="C851">
        <v>850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0.62933185185185181</v>
      </c>
      <c r="B852" t="s">
        <v>1</v>
      </c>
      <c r="C852">
        <v>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0.62933196759259258</v>
      </c>
      <c r="B853" t="s">
        <v>1</v>
      </c>
      <c r="C853">
        <v>852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0.62933208333333335</v>
      </c>
      <c r="B854" t="s">
        <v>1</v>
      </c>
      <c r="C854">
        <v>853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0.62933219907407412</v>
      </c>
      <c r="B855" t="s">
        <v>1</v>
      </c>
      <c r="C855">
        <v>854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0.62933231481481477</v>
      </c>
      <c r="B856" t="s">
        <v>1</v>
      </c>
      <c r="C856">
        <v>855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0.62933243055555554</v>
      </c>
      <c r="B857" t="s">
        <v>1</v>
      </c>
      <c r="C857">
        <v>856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0.62933254629629631</v>
      </c>
      <c r="B858" t="s">
        <v>1</v>
      </c>
      <c r="C858">
        <v>857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0.62933266203703708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0.62933277777777774</v>
      </c>
      <c r="B860" t="s">
        <v>2</v>
      </c>
      <c r="C860">
        <v>859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0.62933288194444448</v>
      </c>
      <c r="B861" t="s">
        <v>2</v>
      </c>
      <c r="C861">
        <v>860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0.62933300925925928</v>
      </c>
      <c r="B862" t="s">
        <v>2</v>
      </c>
      <c r="C862">
        <v>861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0.62933312500000005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0.62933324074074071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0.62933335648148148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0.62933347222222225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0.62933357638888887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0.62933369212962964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0.62933380787037041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0.62933393518518521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0.62933403935185184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0.62933415509259261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0.62933427083333338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0.62933438657407403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0.6293345023148148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0.62933461805555557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0.62933473379629634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0.629334849537037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0.62933496527777777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0.62933508101851854</v>
      </c>
      <c r="B880" t="s">
        <v>2</v>
      </c>
      <c r="C880">
        <v>879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0.62933519675925931</v>
      </c>
      <c r="B881" t="s">
        <v>2</v>
      </c>
      <c r="C881">
        <v>880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0.62933531249999997</v>
      </c>
      <c r="B882" t="s">
        <v>2</v>
      </c>
      <c r="C882">
        <v>881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0.62933542824074074</v>
      </c>
      <c r="B883" t="s">
        <v>1</v>
      </c>
      <c r="C883">
        <v>882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0.6293355439814815</v>
      </c>
      <c r="B884" t="s">
        <v>1</v>
      </c>
      <c r="C884">
        <v>883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0.62933565972222227</v>
      </c>
      <c r="B885" t="s">
        <v>1</v>
      </c>
      <c r="C885">
        <v>884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0.62933577546296293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0.6293358912037037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0.62933600694444447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0.62933612268518524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0.6293362384259259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0.62933635416666667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0.62933646990740744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0.62933658564814809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0.62933670138888886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0.62933681712962963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0.62933704861111106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0.62933716435185183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0.6293372800925926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0.62933739583333337</v>
      </c>
      <c r="B899" t="s">
        <v>2</v>
      </c>
      <c r="C899">
        <v>898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0.62933751157407403</v>
      </c>
      <c r="B900" t="s">
        <v>2</v>
      </c>
      <c r="C900">
        <v>899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0.6293376273148148</v>
      </c>
      <c r="B901" t="s">
        <v>2</v>
      </c>
      <c r="C901">
        <v>900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0.62933774305555557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0.62933785879629633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0.62933797453703699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0.62933809027777776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0.62933820601851853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0.6293383217592593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0.62933843749999996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0.62933855324074073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0.6293386689814815</v>
      </c>
      <c r="B910" t="s">
        <v>1</v>
      </c>
      <c r="C910">
        <v>909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0.62933878472222227</v>
      </c>
      <c r="B911" t="s">
        <v>1</v>
      </c>
      <c r="C911">
        <v>910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0.62933890046296292</v>
      </c>
      <c r="B912" t="s">
        <v>1</v>
      </c>
      <c r="C912">
        <v>911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0.62933901620370369</v>
      </c>
      <c r="B913" t="s">
        <v>1</v>
      </c>
      <c r="C913">
        <v>912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0.62933913194444446</v>
      </c>
      <c r="B914" t="s">
        <v>1</v>
      </c>
      <c r="C914">
        <v>913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0.62933924768518523</v>
      </c>
      <c r="B915" t="s">
        <v>1</v>
      </c>
      <c r="C915">
        <v>914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0.62933936342592589</v>
      </c>
      <c r="B916" t="s">
        <v>1</v>
      </c>
      <c r="C916">
        <v>915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0.62933947916666666</v>
      </c>
      <c r="B917" t="s">
        <v>1</v>
      </c>
      <c r="C917">
        <v>916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0.62933959490740743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0.6293397106481482</v>
      </c>
      <c r="B919" t="s">
        <v>2</v>
      </c>
      <c r="C919">
        <v>918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0.62933982638888886</v>
      </c>
      <c r="B920" t="s">
        <v>2</v>
      </c>
      <c r="C920">
        <v>919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0.62933994212962963</v>
      </c>
      <c r="B921" t="s">
        <v>2</v>
      </c>
      <c r="C921">
        <v>920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0.6293400578703704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0.62934017361111116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0.62934028935185182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0.62934039351851856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0.62934050925925922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0.62934062499999999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0.62934075231481479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0.62934085648148153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0.62934097222222218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0.62934109953703699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0.62934121527777775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0.62934131944444449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0.62934143518518515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0.62934156249999995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0.62934166666666669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0.62934179398148149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0.62934189814814812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0.62934201388888888</v>
      </c>
      <c r="B939" t="s">
        <v>2</v>
      </c>
      <c r="C939">
        <v>938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0.62934212962962965</v>
      </c>
      <c r="B940" t="s">
        <v>2</v>
      </c>
      <c r="C940">
        <v>939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0.62934224537037042</v>
      </c>
      <c r="B941" t="s">
        <v>2</v>
      </c>
      <c r="C941">
        <v>940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0.62934236111111108</v>
      </c>
      <c r="B942" t="s">
        <v>1</v>
      </c>
      <c r="C942">
        <v>941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0.62934247685185185</v>
      </c>
      <c r="B943" t="s">
        <v>1</v>
      </c>
      <c r="C943">
        <v>942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0.62934259259259262</v>
      </c>
      <c r="B944" t="s">
        <v>1</v>
      </c>
      <c r="C944">
        <v>943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0.62934270833333328</v>
      </c>
      <c r="B945" t="s">
        <v>1</v>
      </c>
      <c r="C945">
        <v>944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0.62934282407407405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0.62934293981481482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0.62934305555555559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0.62934317129629624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0.62934328703703701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0.62934340277777778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0.62934351851851855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0.62934363425925921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0.62934374999999998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0.62934386574074075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0.62934398148148152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0.62934409722222218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0.62934421296296295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0.62934432870370371</v>
      </c>
      <c r="B959" t="s">
        <v>2</v>
      </c>
      <c r="C959">
        <v>958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0.62934444444444448</v>
      </c>
      <c r="B960" t="s">
        <v>2</v>
      </c>
      <c r="C960">
        <v>959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0.62934456018518514</v>
      </c>
      <c r="B961" t="s">
        <v>2</v>
      </c>
      <c r="C961">
        <v>960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0.62934467592592591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0.62934479166666668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0.62934490740740745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0.62934502314814811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0.62934513888888888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0.62934525462962965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0.62934537037037042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0.62934548611111107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0.62934560185185184</v>
      </c>
      <c r="B970" t="s">
        <v>1</v>
      </c>
      <c r="C970">
        <v>969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0.62934571759259261</v>
      </c>
      <c r="B971" t="s">
        <v>1</v>
      </c>
      <c r="C971">
        <v>970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0.62934583333333338</v>
      </c>
      <c r="B972" t="s">
        <v>1</v>
      </c>
      <c r="C972">
        <v>971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0.62934594907407404</v>
      </c>
      <c r="B973" t="s">
        <v>1</v>
      </c>
      <c r="C973">
        <v>972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0.62934606481481481</v>
      </c>
      <c r="B974" t="s">
        <v>1</v>
      </c>
      <c r="C974">
        <v>973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0.62934618055555558</v>
      </c>
      <c r="B975" t="s">
        <v>1</v>
      </c>
      <c r="C975">
        <v>974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0.6293462847222222</v>
      </c>
      <c r="B976" t="s">
        <v>1</v>
      </c>
      <c r="C976">
        <v>975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0.62934640046296297</v>
      </c>
      <c r="B977" t="s">
        <v>1</v>
      </c>
      <c r="C977">
        <v>976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0.62934652777777778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0.62934664351851854</v>
      </c>
      <c r="B979" t="s">
        <v>2</v>
      </c>
      <c r="C979">
        <v>978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0.62934675925925931</v>
      </c>
      <c r="B980" t="s">
        <v>2</v>
      </c>
      <c r="C980">
        <v>979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0.62934687499999997</v>
      </c>
      <c r="B981" t="s">
        <v>2</v>
      </c>
      <c r="C981">
        <v>980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0.62934697916666671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0.62934709490740737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0.62934721064814814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0.62934732638888891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0.62934744212962968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0.62934755787037033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0.6293476736111111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0.62934778935185187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0.62934790509259264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0.6293480208333333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0.62934813657407407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0.62934825231481484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0.62934836805555561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EA05-9E16-44B6-9CC4-E17A9F410FCF}">
  <dimension ref="A1:S994"/>
  <sheetViews>
    <sheetView workbookViewId="0"/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0.62866849537037039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0.62866861111111116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0.62866872685185182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0.62866884259259259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0.62866895833333336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0.62866907407407402</v>
      </c>
      <c r="B7" t="s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0.62866918981481479</v>
      </c>
      <c r="B8" t="s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0.62866930555555556</v>
      </c>
      <c r="B9" t="s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0.62866942129629633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0.62866953703703699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0.62866965277777775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0.62866976851851852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0.62866988425925929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0.62866999999999995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0.62867011574074072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0.62867023148148149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0.62867034722222226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0.62867046296296292</v>
      </c>
      <c r="B19" t="s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0.62867057870370369</v>
      </c>
      <c r="B20" t="s">
        <v>2</v>
      </c>
      <c r="C20">
        <v>19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0.62867069444444446</v>
      </c>
      <c r="B21" t="s">
        <v>2</v>
      </c>
      <c r="C21">
        <v>20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0.62867081018518522</v>
      </c>
      <c r="B22" t="s">
        <v>2</v>
      </c>
      <c r="C22">
        <v>21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0.62867092592592588</v>
      </c>
      <c r="B23" t="s">
        <v>2</v>
      </c>
      <c r="C23">
        <v>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0.62867104166666665</v>
      </c>
      <c r="B24" t="s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0.62867115740740742</v>
      </c>
      <c r="B25" t="s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0.62867127314814819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0.62867137731481482</v>
      </c>
      <c r="B27" t="s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0.62867149305555559</v>
      </c>
      <c r="B28" t="s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0.62867160879629624</v>
      </c>
      <c r="B29" t="s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0.62867173611111116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0.62867184027777778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0.62867195601851855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0.62867207175925921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0.62867218749999998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0.62867230324074075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0.62867241898148152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0.62867254629629632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0.62867266203703709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0.62867276620370371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0.62867288194444448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0.62867299768518514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0.62867311342592591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0.62867322916666668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0.62867334490740745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0.62867346064814811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0.62867357638888888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0.62867369212962965</v>
      </c>
      <c r="B47" t="s">
        <v>1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0.62867380787037042</v>
      </c>
      <c r="B48" t="s">
        <v>1</v>
      </c>
      <c r="C48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0.62867392361111107</v>
      </c>
      <c r="B49" t="s">
        <v>1</v>
      </c>
      <c r="C49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0.62867403935185184</v>
      </c>
      <c r="B50" t="s">
        <v>2</v>
      </c>
      <c r="C50">
        <v>49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0.62867415509259261</v>
      </c>
      <c r="B51" t="s">
        <v>2</v>
      </c>
      <c r="C51">
        <v>50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0.62867427083333338</v>
      </c>
      <c r="B52" t="s">
        <v>2</v>
      </c>
      <c r="C52">
        <v>51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0.62867438657407404</v>
      </c>
      <c r="B53" t="s">
        <v>2</v>
      </c>
      <c r="C53">
        <v>52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0.62867450231481481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0.62867461805555558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0.62867473379629635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0.62867484953703701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0.62867496527777778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0.62867508101851854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0.62867519675925931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0.62867531249999997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0.62867542824074074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0.62867554398148151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0.62867565972222217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0.62867577546296294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0.62867589120370371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0.62867600694444448</v>
      </c>
      <c r="B67" t="s">
        <v>1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0.62867612268518513</v>
      </c>
      <c r="B68" t="s">
        <v>1</v>
      </c>
      <c r="C68">
        <v>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0.6286762384259259</v>
      </c>
      <c r="B69" t="s">
        <v>1</v>
      </c>
      <c r="C69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0.62867635416666667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0.62867646990740744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0.6286765856481481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0.62867670138888887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0.62867681712962964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0.62867693287037041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0.62867704861111107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0.62867716435185184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0.62867728009259261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0.62867739583333337</v>
      </c>
      <c r="B79" t="s">
        <v>1</v>
      </c>
      <c r="C79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0.62867751157407403</v>
      </c>
      <c r="B80" t="s">
        <v>2</v>
      </c>
      <c r="C80">
        <v>79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0.6286776273148148</v>
      </c>
      <c r="B81" t="s">
        <v>2</v>
      </c>
      <c r="C81">
        <v>80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0.62867773148148143</v>
      </c>
      <c r="B82" t="s">
        <v>2</v>
      </c>
      <c r="C82">
        <v>81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0.6286778472222222</v>
      </c>
      <c r="B83" t="s">
        <v>2</v>
      </c>
      <c r="C83">
        <v>82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0.62867796296296297</v>
      </c>
      <c r="B84" t="s">
        <v>1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0.62867807870370374</v>
      </c>
      <c r="B85" t="s">
        <v>1</v>
      </c>
      <c r="C85">
        <v>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0.62867820601851854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0.62867843749999996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0.6286785416666667</v>
      </c>
      <c r="B88" t="s">
        <v>1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0.62867865740740736</v>
      </c>
      <c r="B89" t="s">
        <v>1</v>
      </c>
      <c r="C89">
        <v>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0.62867877314814813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0.6286788888888889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0.6286790162037037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0.62867913194444447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0.62867923611111109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0.62867935185185186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0.62867947916666667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0.62867959490740744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0.62867971064814809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0.62867981481481483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0.6286799305555556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0.62868004629629626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0.62868016203703703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0.6286802777777778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0.62868039351851857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0.62868050925925922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0.62868062499999999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0.62868074074074076</v>
      </c>
      <c r="B107" t="s">
        <v>1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0.62868085648148153</v>
      </c>
      <c r="B108" t="s">
        <v>1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0.62868097222222219</v>
      </c>
      <c r="B109" t="s">
        <v>2</v>
      </c>
      <c r="C109">
        <v>108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0.62868108796296296</v>
      </c>
      <c r="B110" t="s">
        <v>2</v>
      </c>
      <c r="C110">
        <v>109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0.62868120370370373</v>
      </c>
      <c r="B111" t="s">
        <v>2</v>
      </c>
      <c r="C111">
        <v>110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0.6286813194444445</v>
      </c>
      <c r="B112" t="s">
        <v>2</v>
      </c>
      <c r="C112">
        <v>111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0.62868143518518516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0.62868155092592592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0.62868166666666669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0.62868178240740735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0.62868189814814812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0.62868201388888889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0.62868212962962966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0.62868224537037032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0.62868236111111109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0.62868247685185186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0.62868259259259263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0.62868270833333328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0.62868282407407405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0.62868293981481482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0.62868305555555559</v>
      </c>
      <c r="B127" t="s">
        <v>1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0.62868317129629625</v>
      </c>
      <c r="B128" t="s">
        <v>1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0.62868328703703702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0.62868340277777779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0.62868351851851856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0.62868363425925922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0.62868374999999999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0.62868386574074075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0.62868398148148152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0.62868409722222218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0.62868421296296295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0.62868432870370372</v>
      </c>
      <c r="B138" t="s">
        <v>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0.62868444444444449</v>
      </c>
      <c r="B139" t="s">
        <v>2</v>
      </c>
      <c r="C139">
        <v>138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0.62868456018518515</v>
      </c>
      <c r="B140" t="s">
        <v>2</v>
      </c>
      <c r="C140">
        <v>139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0.62868467592592592</v>
      </c>
      <c r="B141" t="s">
        <v>2</v>
      </c>
      <c r="C141">
        <v>140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0.62868479166666669</v>
      </c>
      <c r="B142" t="s">
        <v>2</v>
      </c>
      <c r="C142">
        <v>141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0.62868490740740746</v>
      </c>
      <c r="B143" t="s">
        <v>1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0.62868501157407408</v>
      </c>
      <c r="B144" t="s">
        <v>1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0.62868512731481485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0.62868524305555551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0.62868535879629628</v>
      </c>
      <c r="B147" t="s">
        <v>1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0.62868547453703705</v>
      </c>
      <c r="B148" t="s">
        <v>1</v>
      </c>
      <c r="C148">
        <v>147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0.62868560185185185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0.62868570601851848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0.62868582175925924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0.62868593750000001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0.62868605324074078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0.62868618055555558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0.62868629629629624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0.62868640046296298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0.62868651620370375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0.62868663194444441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0.62868674768518518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0.62868687499999998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0.62868699074074075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0.62868709490740737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0.62868721064814814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0.62868732638888891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0.62868744212962968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0.62868755787037034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0.62868767361111111</v>
      </c>
      <c r="B167" t="s">
        <v>1</v>
      </c>
      <c r="C167">
        <v>166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0.62868778935185188</v>
      </c>
      <c r="B168" t="s">
        <v>1</v>
      </c>
      <c r="C168">
        <v>167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0.62868790509259265</v>
      </c>
      <c r="B169" t="s">
        <v>2</v>
      </c>
      <c r="C169">
        <v>168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0.62868802083333331</v>
      </c>
      <c r="B170" t="s">
        <v>2</v>
      </c>
      <c r="C170">
        <v>169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0.62868813657407407</v>
      </c>
      <c r="B171" t="s">
        <v>2</v>
      </c>
      <c r="C171">
        <v>170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0.62868825231481484</v>
      </c>
      <c r="B172" t="s">
        <v>2</v>
      </c>
      <c r="C172">
        <v>171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0.6286883680555555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0.62868848379629627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0.62868859953703704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0.62868871527777781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0.62868883101851847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0.62868894675925924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0.62868906250000001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0.62868917824074078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0.62868929398148143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0.6286894097222222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0.62868952546296297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0.62868964120370374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0.6286897569444444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0.62868998842592594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0.62869010416666671</v>
      </c>
      <c r="B187" t="s">
        <v>1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0.62869021990740737</v>
      </c>
      <c r="B188" t="s">
        <v>1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0.62869033564814814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0.6286904513888889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0.62869056712962967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0.62869068287037033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0.62869078703703707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0.62869090277777773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0.6286910185185185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0.6286911458333333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0.62869126157407407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0.62869137731481484</v>
      </c>
      <c r="B198" t="s">
        <v>2</v>
      </c>
      <c r="C198">
        <v>197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0.62869149305555561</v>
      </c>
      <c r="B199" t="s">
        <v>2</v>
      </c>
      <c r="C199">
        <v>198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0.62869159722222223</v>
      </c>
      <c r="B200" t="s">
        <v>2</v>
      </c>
      <c r="C200">
        <v>199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0.62869172453703703</v>
      </c>
      <c r="B201" t="s">
        <v>2</v>
      </c>
      <c r="C201">
        <v>200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0.62869182870370366</v>
      </c>
      <c r="B202" t="s">
        <v>1</v>
      </c>
      <c r="C202">
        <v>201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0.62869194444444443</v>
      </c>
      <c r="B203" t="s">
        <v>1</v>
      </c>
      <c r="C203">
        <v>202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0.6286920601851852</v>
      </c>
      <c r="B204" t="s">
        <v>1</v>
      </c>
      <c r="C204">
        <v>203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0.62869217592592597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0.62869229166666663</v>
      </c>
      <c r="B206" t="s">
        <v>1</v>
      </c>
      <c r="C206">
        <v>205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0.62869240740740739</v>
      </c>
      <c r="B207" t="s">
        <v>1</v>
      </c>
      <c r="C207">
        <v>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0.6286925347222222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0.62869263888888893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0.62869276620370373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0.62869287037037036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0.62869298611111113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0.6286931018518519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0.62869321759259256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0.62869333333333333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0.6286934490740741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0.62869356481481486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0.62869368055555552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0.62869379629629629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0.62869391203703706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0.62869402777777783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0.62869414351851849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0.62869425925925926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0.62869437500000003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0.62869449074074069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0.62869460648148145</v>
      </c>
      <c r="B226" t="s">
        <v>1</v>
      </c>
      <c r="C226">
        <v>225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0.62869472222222222</v>
      </c>
      <c r="B227" t="s">
        <v>1</v>
      </c>
      <c r="C227">
        <v>226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0.62869483796296299</v>
      </c>
      <c r="B228" t="s">
        <v>2</v>
      </c>
      <c r="C228">
        <v>227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0.62869495370370365</v>
      </c>
      <c r="B229" t="s">
        <v>2</v>
      </c>
      <c r="C229">
        <v>228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0.62869506944444442</v>
      </c>
      <c r="B230" t="s">
        <v>2</v>
      </c>
      <c r="C230">
        <v>229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0.62869518518518519</v>
      </c>
      <c r="B231" t="s">
        <v>2</v>
      </c>
      <c r="C231">
        <v>230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0.62869530092592596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0.62869541666666662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0.62869553240740739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0.62869564814814816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0.62869576388888893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0.62869587962962958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0.62869599537037035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0.62869611111111112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0.62869622685185189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0.62869634259259255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0.62869645833333332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0.62869657407407409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0.62869668981481486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0.62869680555555552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0.62869692129629628</v>
      </c>
      <c r="B246" t="s">
        <v>1</v>
      </c>
      <c r="C246">
        <v>245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0.62869703703703705</v>
      </c>
      <c r="B247" t="s">
        <v>1</v>
      </c>
      <c r="C247">
        <v>246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0.62869715277777782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0.62869725694444445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0.62869738425925925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0.62869750000000002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0.62869761574074079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0.62869773148148145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0.62869784722222222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0.62869795138888884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0.62869807870370376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0.62869819444444441</v>
      </c>
      <c r="B257" t="s">
        <v>1</v>
      </c>
      <c r="C257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0.62869831018518518</v>
      </c>
      <c r="B258" t="s">
        <v>2</v>
      </c>
      <c r="C258">
        <v>257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0.62869842592592595</v>
      </c>
      <c r="B259" t="s">
        <v>2</v>
      </c>
      <c r="C259">
        <v>258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0.62869854166666672</v>
      </c>
      <c r="B260" t="s">
        <v>2</v>
      </c>
      <c r="C260">
        <v>259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0.62869864583333335</v>
      </c>
      <c r="B261" t="s">
        <v>2</v>
      </c>
      <c r="C261">
        <v>260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0.62869877314814815</v>
      </c>
      <c r="B262" t="s">
        <v>1</v>
      </c>
      <c r="C262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0.62869887731481477</v>
      </c>
      <c r="B263" t="s">
        <v>1</v>
      </c>
      <c r="C263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0.62869899305555554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0.62869912037037035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0.62869923611111111</v>
      </c>
      <c r="B266" t="s">
        <v>1</v>
      </c>
      <c r="C266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0.62869934027777774</v>
      </c>
      <c r="B267" t="s">
        <v>1</v>
      </c>
      <c r="C267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0.62869945601851851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0.62869957175925928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0.62869968750000005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0.62869981481481485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0.62869991898148148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0.62870003472222225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0.62870015046296301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0.62870026620370367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0.62870038194444444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0.62870049768518521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0.62870061342592598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0.62870072916666664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0.62870084490740741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0.62870096064814818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0.62870107638888884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0.6287011921296296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0.62870130787037037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0.6287015393518518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0.62870165509259257</v>
      </c>
      <c r="B286" t="s">
        <v>1</v>
      </c>
      <c r="C286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0.62870177083333334</v>
      </c>
      <c r="B287" t="s">
        <v>2</v>
      </c>
      <c r="C287">
        <v>286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0.62870188657407411</v>
      </c>
      <c r="B288" t="s">
        <v>2</v>
      </c>
      <c r="C288">
        <v>287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0.62870200231481477</v>
      </c>
      <c r="B289" t="s">
        <v>2</v>
      </c>
      <c r="C289">
        <v>288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0.62870211805555554</v>
      </c>
      <c r="B290" t="s">
        <v>2</v>
      </c>
      <c r="C290">
        <v>289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0.62870223379629631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0.62870234953703708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0.62870246527777773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0.6287025810185185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0.62870269675925927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0.62870281250000004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0.6287029282407407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0.62870304398148147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0.62870315972222224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0.62870327546296301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0.62870339120370367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0.62870350694444443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0.6287036226851852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0.62870373842592597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0.62870385416666663</v>
      </c>
      <c r="B305" t="s">
        <v>1</v>
      </c>
      <c r="C305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0.6287039699074074</v>
      </c>
      <c r="B306" t="s">
        <v>1</v>
      </c>
      <c r="C306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0.62870408564814817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0.62870420138888894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0.6287043171296296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0.62870443287037037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0.62870453703703699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0.62870466435185191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0.62870478009259256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0.62870489583333333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0.6287050115740741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0.62870512731481476</v>
      </c>
      <c r="B316" t="s">
        <v>1</v>
      </c>
      <c r="C316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0.6287052314814815</v>
      </c>
      <c r="B317" t="s">
        <v>2</v>
      </c>
      <c r="C317">
        <v>316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0.62870534722222227</v>
      </c>
      <c r="B318" t="s">
        <v>2</v>
      </c>
      <c r="C318">
        <v>317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0.62870546296296292</v>
      </c>
      <c r="B319" t="s">
        <v>2</v>
      </c>
      <c r="C319">
        <v>318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0.62870557870370369</v>
      </c>
      <c r="B320" t="s">
        <v>2</v>
      </c>
      <c r="C320">
        <v>319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0.62870569444444446</v>
      </c>
      <c r="B321" t="s">
        <v>1</v>
      </c>
      <c r="C321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0.62870582175925926</v>
      </c>
      <c r="B322" t="s">
        <v>1</v>
      </c>
      <c r="C322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0.62870592592592589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0.62870604166666666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0.62870615740740743</v>
      </c>
      <c r="B325" t="s">
        <v>1</v>
      </c>
      <c r="C325">
        <v>324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0.6287062731481482</v>
      </c>
      <c r="B326" t="s">
        <v>1</v>
      </c>
      <c r="C326">
        <v>325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0.62870638888888886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0.62870650462962963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0.62870662037037039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0.62870673611111116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0.62870685185185182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0.62870696759259259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0.62870708333333336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0.62870719907407402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0.62870731481481479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0.62870743055555556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0.62870754629629633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0.62870766203703699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0.62870777777777775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0.62870789351851852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0.62870800925925929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0.62870812499999995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0.62870824074074072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0.62870835648148149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0.62870847222222226</v>
      </c>
      <c r="B345" t="s">
        <v>1</v>
      </c>
      <c r="C345">
        <v>344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0.62870858796296292</v>
      </c>
      <c r="B346" t="s">
        <v>1</v>
      </c>
      <c r="C346">
        <v>345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0.62870870370370369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0.62870881944444446</v>
      </c>
      <c r="B348" t="s">
        <v>2</v>
      </c>
      <c r="C348">
        <v>347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0.62870893518518522</v>
      </c>
      <c r="B349" t="s">
        <v>2</v>
      </c>
      <c r="C349">
        <v>348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0.62870905092592588</v>
      </c>
      <c r="B350" t="s">
        <v>2</v>
      </c>
      <c r="C350">
        <v>349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0.62870916666666665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0.62870928240740742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0.62870939814814819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0.62870951388888885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0.62870962962962962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0.62870974537037039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0.62870986111111116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0.62870997685185182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0.62871009259259258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0.62871020833333335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0.62871032407407412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0.62871043981481478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0.62871055555555555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0.62871067129629632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0.62871078703703709</v>
      </c>
      <c r="B365" t="s">
        <v>1</v>
      </c>
      <c r="C365">
        <v>364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0.62871090277777775</v>
      </c>
      <c r="B366" t="s">
        <v>1</v>
      </c>
      <c r="C366">
        <v>365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0.62871101851851852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0.62871113425925929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0.62871125000000005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0.62871136574074071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0.62871148148148148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0.62871159722222225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0.62871171296296291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0.62871182870370368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0.62871194444444445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0.62871206018518522</v>
      </c>
      <c r="B376" t="s">
        <v>1</v>
      </c>
      <c r="C376">
        <v>375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0.62871217592592588</v>
      </c>
      <c r="B377" t="s">
        <v>2</v>
      </c>
      <c r="C377">
        <v>376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0.62871229166666665</v>
      </c>
      <c r="B378" t="s">
        <v>2</v>
      </c>
      <c r="C378">
        <v>377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0.62871239583333338</v>
      </c>
      <c r="B379" t="s">
        <v>2</v>
      </c>
      <c r="C379">
        <v>378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0.62871252314814818</v>
      </c>
      <c r="B380" t="s">
        <v>2</v>
      </c>
      <c r="C380">
        <v>379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0.62871262731481481</v>
      </c>
      <c r="B381" t="s">
        <v>1</v>
      </c>
      <c r="C381">
        <v>380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0.62871275462962961</v>
      </c>
      <c r="B382" t="s">
        <v>1</v>
      </c>
      <c r="C382">
        <v>381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0.62871285879629635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0.62871309027777778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0.62871320601851854</v>
      </c>
      <c r="B385" t="s">
        <v>1</v>
      </c>
      <c r="C385">
        <v>384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0.62871332175925931</v>
      </c>
      <c r="B386" t="s">
        <v>1</v>
      </c>
      <c r="C386">
        <v>385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0.62871343749999997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0.62871356481481477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0.62871368055555554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0.62871378472222217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0.62871390046296294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0.62871401620370371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0.62871414351851851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0.62871424768518513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0.6287143634259259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0.62871447916666667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0.62871459490740744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0.6287147106481481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0.62871482638888887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0.62871494212962964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0.62871505787037041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0.62871517361111107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0.62871528935185184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0.62871540509259261</v>
      </c>
      <c r="B404" t="s">
        <v>1</v>
      </c>
      <c r="C404">
        <v>403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0.62871552083333337</v>
      </c>
      <c r="B405" t="s">
        <v>1</v>
      </c>
      <c r="C405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0.62871563657407403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0.6287157523148148</v>
      </c>
      <c r="B407" t="s">
        <v>2</v>
      </c>
      <c r="C407">
        <v>406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0.62871586805555557</v>
      </c>
      <c r="B408" t="s">
        <v>2</v>
      </c>
      <c r="C408">
        <v>407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0.62871598379629634</v>
      </c>
      <c r="B409" t="s">
        <v>2</v>
      </c>
      <c r="C409">
        <v>408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0.628716099537037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0.62871621527777777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0.62871633101851854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0.62871644675925931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0.62871656249999996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0.62871667824074073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0.6287167939814815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0.62871690972222227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0.62871702546296293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0.6287171412037037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0.62871725694444447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0.62871737268518524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0.6287174884259259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0.62871760416666667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0.62871771990740744</v>
      </c>
      <c r="B424" t="s">
        <v>1</v>
      </c>
      <c r="C424">
        <v>423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0.62871783564814809</v>
      </c>
      <c r="B425" t="s">
        <v>1</v>
      </c>
      <c r="C425">
        <v>424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0.62871795138888886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0.62871806712962963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0.6287181828703704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0.62871829861111106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0.62871841435185183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0.6287185300925926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0.62871864583333337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0.62871876157407403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0.62871887731481479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0.62871899305555556</v>
      </c>
      <c r="B435" t="s">
        <v>1</v>
      </c>
      <c r="C435">
        <v>434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0.62871909722222219</v>
      </c>
      <c r="B436" t="s">
        <v>1</v>
      </c>
      <c r="C436">
        <v>435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0.62871921296296296</v>
      </c>
      <c r="B437" t="s">
        <v>2</v>
      </c>
      <c r="C437">
        <v>436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0.62871932870370373</v>
      </c>
      <c r="B438" t="s">
        <v>2</v>
      </c>
      <c r="C438">
        <v>437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0.62871945601851853</v>
      </c>
      <c r="B439" t="s">
        <v>2</v>
      </c>
      <c r="C439">
        <v>438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0.62871956018518516</v>
      </c>
      <c r="B440" t="s">
        <v>1</v>
      </c>
      <c r="C440">
        <v>439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0.62871967592592592</v>
      </c>
      <c r="B441" t="s">
        <v>1</v>
      </c>
      <c r="C441">
        <v>440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0.62871979166666669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0.6287199189814815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0.62872003472222227</v>
      </c>
      <c r="B444" t="s">
        <v>1</v>
      </c>
      <c r="C444">
        <v>443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0.62872013888888889</v>
      </c>
      <c r="B445" t="s">
        <v>1</v>
      </c>
      <c r="C445">
        <v>444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0.62872026620370369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0.62872037037037032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0.62872048611111109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0.62872060185185186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0.62872071759259263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0.62872083333333328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0.62872094907407405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0.62872106481481482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0.62872118055555559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0.62872129629629625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0.62872141203703702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0.62872153935185182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0.62872164351851856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0.62872175925925922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0.62872187499999999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0.62872199074074075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0.62872210648148152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0.62872222222222218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0.62872233796296295</v>
      </c>
      <c r="B464" t="s">
        <v>1</v>
      </c>
      <c r="C464">
        <v>463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0.62872245370370372</v>
      </c>
      <c r="B465" t="s">
        <v>1</v>
      </c>
      <c r="C465">
        <v>464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0.62872256944444449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0.62872268518518515</v>
      </c>
      <c r="B467" t="s">
        <v>2</v>
      </c>
      <c r="C467">
        <v>466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0.62872280092592592</v>
      </c>
      <c r="B468" t="s">
        <v>2</v>
      </c>
      <c r="C468">
        <v>467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0.62872291666666669</v>
      </c>
      <c r="B469" t="s">
        <v>2</v>
      </c>
      <c r="C469">
        <v>468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0.62872303240740746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0.62872314814814811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0.62872326388888888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0.62872337962962965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0.62872349537037042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0.62872361111111108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0.62872372685185185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0.62872384259259262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0.62872395833333339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0.62872407407407405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0.62872418981481482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0.62872430555555558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0.62872442129629624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0.62872465277777778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0.62872476851851855</v>
      </c>
      <c r="B484" t="s">
        <v>1</v>
      </c>
      <c r="C484">
        <v>483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0.62872488425925921</v>
      </c>
      <c r="B485" t="s">
        <v>1</v>
      </c>
      <c r="C485">
        <v>484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0.62872499999999998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0.62872511574074075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0.62872523148148152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0.62872534722222218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0.62872546296296294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0.62872557870370371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0.62872569444444448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0.62872581018518514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0.62872592592592591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0.62872604166666668</v>
      </c>
      <c r="B495" t="s">
        <v>1</v>
      </c>
      <c r="C495">
        <v>494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0.62872614583333331</v>
      </c>
      <c r="B496" t="s">
        <v>2</v>
      </c>
      <c r="C496">
        <v>495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0.62872627314814811</v>
      </c>
      <c r="B497" t="s">
        <v>2</v>
      </c>
      <c r="C497">
        <v>496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0.62872638888888888</v>
      </c>
      <c r="B498" t="s">
        <v>2</v>
      </c>
      <c r="C498">
        <v>497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0.62872650462962965</v>
      </c>
      <c r="B499" t="s">
        <v>1</v>
      </c>
      <c r="C499">
        <v>498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0.62872662037037041</v>
      </c>
      <c r="B500" t="s">
        <v>1</v>
      </c>
      <c r="C500">
        <v>499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0.62872672453703704</v>
      </c>
      <c r="B501" t="s">
        <v>1</v>
      </c>
      <c r="C501">
        <v>500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0.62872684027777781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0.62872695601851847</v>
      </c>
      <c r="B503" t="s">
        <v>1</v>
      </c>
      <c r="C503">
        <v>502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0.62872707175925924</v>
      </c>
      <c r="B504" t="s">
        <v>1</v>
      </c>
      <c r="C504">
        <v>503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0.62872718750000001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0.62872730324074078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0.62872741898148143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0.6287275347222222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0.62872765046296297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0.62872776620370374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0.6287278819444444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0.62872799768518517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0.62872811342592594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0.62872822916666671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0.62872834490740737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0.62872846064814814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0.6287285763888889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0.62872869212962967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0.62872880787037033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0.6287289236111111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0.62872903935185187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0.62872915509259264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0.6287292708333333</v>
      </c>
      <c r="B523" t="s">
        <v>1</v>
      </c>
      <c r="C523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0.62872938657407407</v>
      </c>
      <c r="B524" t="s">
        <v>1</v>
      </c>
      <c r="C524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0.62872950231481484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0.62872961805555561</v>
      </c>
      <c r="B526" t="s">
        <v>2</v>
      </c>
      <c r="C526">
        <v>525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0.62872973379629626</v>
      </c>
      <c r="B527" t="s">
        <v>2</v>
      </c>
      <c r="C527">
        <v>526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0.62872984953703703</v>
      </c>
      <c r="B528" t="s">
        <v>2</v>
      </c>
      <c r="C528">
        <v>527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0.6287299652777778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0.62873008101851857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0.62873019675925923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0.6287303125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0.62873042824074077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0.62873054398148143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0.6287306597222222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0.62873077546296297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0.62873089120370373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0.62873100694444439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0.62873112268518516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0.62873123842592593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0.6287313541666667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0.62873146990740736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0.62873158564814813</v>
      </c>
      <c r="B543" t="s">
        <v>1</v>
      </c>
      <c r="C543">
        <v>542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0.6287317013888889</v>
      </c>
      <c r="B544" t="s">
        <v>1</v>
      </c>
      <c r="C544">
        <v>543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0.62873181712962967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0.62873193287037032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0.62873204861111109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0.62873216435185186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0.62873228009259263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0.62873239583333329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0.62873251157407406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0.62873262731481483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0.6287327430555556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0.62873285879629626</v>
      </c>
      <c r="B554" t="s">
        <v>1</v>
      </c>
      <c r="C554">
        <v>553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0.62873297453703703</v>
      </c>
      <c r="B555" t="s">
        <v>1</v>
      </c>
      <c r="C555">
        <v>554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0.6287330902777778</v>
      </c>
      <c r="B556" t="s">
        <v>2</v>
      </c>
      <c r="C556">
        <v>555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0.62873320601851856</v>
      </c>
      <c r="B557" t="s">
        <v>2</v>
      </c>
      <c r="C557">
        <v>556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0.62873331018518519</v>
      </c>
      <c r="B558" t="s">
        <v>2</v>
      </c>
      <c r="C558">
        <v>557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0.62873342592592596</v>
      </c>
      <c r="B559" t="s">
        <v>1</v>
      </c>
      <c r="C559">
        <v>558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0.62873355324074076</v>
      </c>
      <c r="B560" t="s">
        <v>1</v>
      </c>
      <c r="C560">
        <v>559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0.62873366898148153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0.62873378472222219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0.62873390046296296</v>
      </c>
      <c r="B563" t="s">
        <v>1</v>
      </c>
      <c r="C563">
        <v>562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0.62873400462962958</v>
      </c>
      <c r="B564" t="s">
        <v>1</v>
      </c>
      <c r="C564">
        <v>563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0.6287341319444445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0.62873423611111112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0.62873435185185189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0.62873447916666669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0.62873459490740746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0.62873469907407409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0.62873481481481486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0.62873493055555552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0.62873504629629628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0.62873516203703705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0.62873527777777782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0.62873539351851848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0.62873550925925925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0.62873562500000002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0.62873574074074079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0.62873585648148145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0.62873597222222222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0.62873620370370376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0.62873631944444441</v>
      </c>
      <c r="B583" t="s">
        <v>1</v>
      </c>
      <c r="C583">
        <v>582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0.62873643518518518</v>
      </c>
      <c r="B584" t="s">
        <v>1</v>
      </c>
      <c r="C584">
        <v>583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0.62873655092592595</v>
      </c>
      <c r="B585" t="s">
        <v>2</v>
      </c>
      <c r="C585">
        <v>584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0.62873666666666672</v>
      </c>
      <c r="B586" t="s">
        <v>2</v>
      </c>
      <c r="C586">
        <v>585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0.62873678240740738</v>
      </c>
      <c r="B587" t="s">
        <v>2</v>
      </c>
      <c r="C587">
        <v>586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0.62873689814814815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0.62873701388888892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0.62873712962962958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0.62873724537037035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0.62873736111111111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0.62873747685185188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0.62873759259259254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0.62873770833333331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0.62873782407407408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0.62873793981481485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0.62873805555555551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0.62873817129629628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0.62873828703703705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0.62873840277777782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0.62873851851851847</v>
      </c>
      <c r="B602" t="s">
        <v>1</v>
      </c>
      <c r="C602">
        <v>601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0.62873863425925924</v>
      </c>
      <c r="B603" t="s">
        <v>1</v>
      </c>
      <c r="C603">
        <v>602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0.62873875000000001</v>
      </c>
      <c r="B604" t="s">
        <v>1</v>
      </c>
      <c r="C604">
        <v>603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0.62873886574074078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0.62873898148148144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0.62873909722222221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0.62873921296296298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0.62873932870370375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0.62873944444444441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0.62873956018518518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0.62873967592592594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0.62873979166666671</v>
      </c>
      <c r="B613" t="s">
        <v>1</v>
      </c>
      <c r="C613">
        <v>612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0.62873990740740737</v>
      </c>
      <c r="B614" t="s">
        <v>1</v>
      </c>
      <c r="C614">
        <v>613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0.62874002314814814</v>
      </c>
      <c r="B615" t="s">
        <v>2</v>
      </c>
      <c r="C615">
        <v>614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0.62874013888888891</v>
      </c>
      <c r="B616" t="s">
        <v>2</v>
      </c>
      <c r="C616">
        <v>615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0.62874025462962968</v>
      </c>
      <c r="B617" t="s">
        <v>2</v>
      </c>
      <c r="C617">
        <v>616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0.62874037037037034</v>
      </c>
      <c r="B618" t="s">
        <v>1</v>
      </c>
      <c r="C618">
        <v>617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0.62874047453703708</v>
      </c>
      <c r="B619" t="s">
        <v>1</v>
      </c>
      <c r="C619">
        <v>618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0.62874059027777773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0.6287407060185185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0.62874082175925927</v>
      </c>
      <c r="B622" t="s">
        <v>1</v>
      </c>
      <c r="C622">
        <v>621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0.62874094907407407</v>
      </c>
      <c r="B623" t="s">
        <v>1</v>
      </c>
      <c r="C623">
        <v>622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0.6287410532407407</v>
      </c>
      <c r="B624" t="s">
        <v>1</v>
      </c>
      <c r="C624">
        <v>623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0.62874116898148147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0.62874128472222224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0.62874141203703704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0.62874151620370367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0.62874163194444443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0.6287417476851852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0.62874186342592597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0.62874197916666663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0.6287420949074074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0.62874221064814817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0.62874232638888894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0.6287424421296296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0.62874255787037037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0.62874267361111114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0.62874278935185191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0.62874290509259256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0.62874302083333333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0.6287431365740741</v>
      </c>
      <c r="B642" t="s">
        <v>1</v>
      </c>
      <c r="C642">
        <v>641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0.62874325231481476</v>
      </c>
      <c r="B643" t="s">
        <v>1</v>
      </c>
      <c r="C643">
        <v>642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0.62874336805555553</v>
      </c>
      <c r="B644" t="s">
        <v>1</v>
      </c>
      <c r="C644">
        <v>643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0.6287434837962963</v>
      </c>
      <c r="B645" t="s">
        <v>2</v>
      </c>
      <c r="C645">
        <v>644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0.62874359953703707</v>
      </c>
      <c r="B646" t="s">
        <v>2</v>
      </c>
      <c r="C646">
        <v>645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0.62874371527777773</v>
      </c>
      <c r="B647" t="s">
        <v>2</v>
      </c>
      <c r="C647">
        <v>646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0.6287438310185185</v>
      </c>
      <c r="B648" t="s">
        <v>2</v>
      </c>
      <c r="C648">
        <v>647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0.62874394675925926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0.62874406250000003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0.62874417824074069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0.62874429398148146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0.62874440972222223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0.628744525462963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0.62874464120370366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0.62874475694444443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0.6287448726851852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0.62874498842592597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0.62874510416666662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0.62874521990740739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0.62874533564814816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0.62874545138888893</v>
      </c>
      <c r="B662" t="s">
        <v>1</v>
      </c>
      <c r="C662">
        <v>661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0.62874556712962959</v>
      </c>
      <c r="B663" t="s">
        <v>1</v>
      </c>
      <c r="C663">
        <v>662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0.62874568287037036</v>
      </c>
      <c r="B664" t="s">
        <v>1</v>
      </c>
      <c r="C664">
        <v>663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0.62874579861111113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0.6287459143518519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0.62874603009259256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0.62874614583333333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0.62874626157407409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0.62874636574074072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0.62874649305555552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0.62874659722222226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0.62874672453703706</v>
      </c>
      <c r="B673" t="s">
        <v>1</v>
      </c>
      <c r="C673">
        <v>672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0.62874684027777783</v>
      </c>
      <c r="B674" t="s">
        <v>1</v>
      </c>
      <c r="C674">
        <v>673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0.62874694444444446</v>
      </c>
      <c r="B675" t="s">
        <v>2</v>
      </c>
      <c r="C675">
        <v>674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0.62874707175925926</v>
      </c>
      <c r="B676" t="s">
        <v>2</v>
      </c>
      <c r="C676">
        <v>675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0.62874717592592588</v>
      </c>
      <c r="B677" t="s">
        <v>2</v>
      </c>
      <c r="C677">
        <v>676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0.6287473032407408</v>
      </c>
      <c r="B678" t="s">
        <v>1</v>
      </c>
      <c r="C678">
        <v>677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0.62874740740740742</v>
      </c>
      <c r="B679" t="s">
        <v>1</v>
      </c>
      <c r="C679">
        <v>678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0.62874752314814819</v>
      </c>
      <c r="B680" t="s">
        <v>1</v>
      </c>
      <c r="C680">
        <v>679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0.62874775462962962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0.62874788194444442</v>
      </c>
      <c r="B682" t="s">
        <v>1</v>
      </c>
      <c r="C682">
        <v>681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0.62874798611111116</v>
      </c>
      <c r="B683" t="s">
        <v>1</v>
      </c>
      <c r="C683">
        <v>682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0.62874810185185181</v>
      </c>
      <c r="B684" t="s">
        <v>1</v>
      </c>
      <c r="C684">
        <v>683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0.62874821759259258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0.62874833333333335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0.62874844907407412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0.62874856481481478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0.62874868055555555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0.62874879629629632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0.62874891203703709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0.62874902777777775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0.62874914351851852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0.62874925925925929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0.62874937500000005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0.62874949074074071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0.62874960648148148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0.62874972222222225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0.62874983796296291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0.62874995370370368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0.62875006944444445</v>
      </c>
      <c r="B701" t="s">
        <v>1</v>
      </c>
      <c r="C701">
        <v>700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0.62875018518518522</v>
      </c>
      <c r="B702" t="s">
        <v>1</v>
      </c>
      <c r="C702">
        <v>701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0.62875030092592588</v>
      </c>
      <c r="B703" t="s">
        <v>1</v>
      </c>
      <c r="C703">
        <v>702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0.62875041666666664</v>
      </c>
      <c r="B704" t="s">
        <v>2</v>
      </c>
      <c r="C704">
        <v>703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0.62875053240740741</v>
      </c>
      <c r="B705" t="s">
        <v>2</v>
      </c>
      <c r="C705">
        <v>704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0.62875064814814818</v>
      </c>
      <c r="B706" t="s">
        <v>2</v>
      </c>
      <c r="C706">
        <v>705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0.62875076388888884</v>
      </c>
      <c r="B707" t="s">
        <v>2</v>
      </c>
      <c r="C707">
        <v>706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0.62875087962962961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0.62875099537037038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0.62875111111111115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0.62875122685185181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0.62875134259259258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0.62875145833333335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0.62875157407407412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0.62875168981481477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0.62875180555555554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0.62875192129629631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0.62875203703703708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0.62875215277777774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0.62875226851851851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0.62875238425925928</v>
      </c>
      <c r="B721" t="s">
        <v>1</v>
      </c>
      <c r="C721">
        <v>720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0.62875251157407408</v>
      </c>
      <c r="B722" t="s">
        <v>1</v>
      </c>
      <c r="C722">
        <v>721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0.62875261574074071</v>
      </c>
      <c r="B723" t="s">
        <v>1</v>
      </c>
      <c r="C723">
        <v>722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0.62875273148148147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0.62875284722222224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0.62875296296296301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0.62875307870370367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0.62875319444444444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0.62875331018518521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0.62875342592592598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0.62875354166666664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0.62875365740740741</v>
      </c>
      <c r="B732" t="s">
        <v>1</v>
      </c>
      <c r="C732">
        <v>731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0.62875377314814818</v>
      </c>
      <c r="B733" t="s">
        <v>1</v>
      </c>
      <c r="C733">
        <v>732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0.62875388888888883</v>
      </c>
      <c r="B734" t="s">
        <v>2</v>
      </c>
      <c r="C734">
        <v>733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0.6287540046296296</v>
      </c>
      <c r="B735" t="s">
        <v>2</v>
      </c>
      <c r="C735">
        <v>734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0.62875412037037037</v>
      </c>
      <c r="B736" t="s">
        <v>2</v>
      </c>
      <c r="C736">
        <v>735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0.628754224537037</v>
      </c>
      <c r="B737" t="s">
        <v>2</v>
      </c>
      <c r="C737">
        <v>736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0.62875434027777777</v>
      </c>
      <c r="B738" t="s">
        <v>1</v>
      </c>
      <c r="C738">
        <v>737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0.62875445601851854</v>
      </c>
      <c r="B739" t="s">
        <v>1</v>
      </c>
      <c r="C739">
        <v>738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0.62875457175925931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0.62875468749999996</v>
      </c>
      <c r="B741" t="s">
        <v>1</v>
      </c>
      <c r="C741">
        <v>740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0.62875480324074073</v>
      </c>
      <c r="B742" t="s">
        <v>1</v>
      </c>
      <c r="C742">
        <v>741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0.6287549189814815</v>
      </c>
      <c r="B743" t="s">
        <v>1</v>
      </c>
      <c r="C743">
        <v>742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0.62875503472222227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0.62875515046296293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0.6287552662037037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0.62875538194444447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0.62875549768518524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0.6287556134259259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0.62875572916666667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0.62875584490740744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0.62875596064814809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0.62875608796296301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0.62875619212962963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0.6287563078703704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0.62875642361111106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0.62875653935185183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0.6287566550925926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0.62875677083333337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0.62875688657407403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0.62875700231481479</v>
      </c>
      <c r="B761" t="s">
        <v>1</v>
      </c>
      <c r="C761">
        <v>760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0.62875711805555556</v>
      </c>
      <c r="B762" t="s">
        <v>1</v>
      </c>
      <c r="C762">
        <v>761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0.62875723379629633</v>
      </c>
      <c r="B763" t="s">
        <v>1</v>
      </c>
      <c r="C763">
        <v>762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0.62875734953703699</v>
      </c>
      <c r="B764" t="s">
        <v>2</v>
      </c>
      <c r="C764">
        <v>763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0.62875746527777776</v>
      </c>
      <c r="B765" t="s">
        <v>2</v>
      </c>
      <c r="C765">
        <v>764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0.62875758101851853</v>
      </c>
      <c r="B766" t="s">
        <v>2</v>
      </c>
      <c r="C766">
        <v>765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0.6287576967592593</v>
      </c>
      <c r="B767" t="s">
        <v>2</v>
      </c>
      <c r="C767">
        <v>766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0.62875781249999996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0.62875792824074073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0.6287580439814815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0.62875815972222227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0.62875827546296292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0.62875839120370369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0.62875850694444446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0.62875862268518523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0.62875873842592589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0.62875885416666666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0.62875896990740743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0.6287590856481482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0.62875931712962962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0.62875943287037039</v>
      </c>
      <c r="B781" t="s">
        <v>1</v>
      </c>
      <c r="C781">
        <v>780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0.62875954861111116</v>
      </c>
      <c r="B782" t="s">
        <v>1</v>
      </c>
      <c r="C782">
        <v>781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0.62875966435185182</v>
      </c>
      <c r="B783" t="s">
        <v>1</v>
      </c>
      <c r="C783">
        <v>782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0.62875978009259259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0.62875989583333336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0.62876001157407413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0.62876012731481479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0.62876024305555556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0.62876035879629633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0.62876047453703698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0.62876059027777775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0.62876070601851852</v>
      </c>
      <c r="B792" t="s">
        <v>1</v>
      </c>
      <c r="C792">
        <v>791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0.62876082175925929</v>
      </c>
      <c r="B793" t="s">
        <v>2</v>
      </c>
      <c r="C793">
        <v>792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0.62876093749999995</v>
      </c>
      <c r="B794" t="s">
        <v>2</v>
      </c>
      <c r="C794">
        <v>793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0.62876104166666669</v>
      </c>
      <c r="B795" t="s">
        <v>2</v>
      </c>
      <c r="C795">
        <v>794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0.62876115740740746</v>
      </c>
      <c r="B796" t="s">
        <v>2</v>
      </c>
      <c r="C796">
        <v>795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0.62876127314814811</v>
      </c>
      <c r="B797" t="s">
        <v>1</v>
      </c>
      <c r="C797">
        <v>796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0.62876138888888888</v>
      </c>
      <c r="B798" t="s">
        <v>1</v>
      </c>
      <c r="C798">
        <v>797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0.62876150462962965</v>
      </c>
      <c r="B799" t="s">
        <v>1</v>
      </c>
      <c r="C799">
        <v>798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0.62876162037037042</v>
      </c>
      <c r="B800" t="s">
        <v>1</v>
      </c>
      <c r="C800">
        <v>799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0.62876173611111108</v>
      </c>
      <c r="B801" t="s">
        <v>1</v>
      </c>
      <c r="C801">
        <v>800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0.62876185185185185</v>
      </c>
      <c r="B802" t="s">
        <v>1</v>
      </c>
      <c r="C802">
        <v>801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0.62876196759259262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0.62876208333333339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0.62876219907407405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0.62876231481481482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0.62876243055555558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0.62876254629629624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0.62876266203703701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0.62876277777777778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0.62876289351851855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0.62876300925925921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0.62876312499999998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0.62876324074074075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0.62876335648148152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0.62876347222222218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0.62876358796296294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0.62876370370370371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0.62876381944444448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0.62876393518518514</v>
      </c>
      <c r="B820" t="s">
        <v>1</v>
      </c>
      <c r="C820">
        <v>819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0.62876405092592591</v>
      </c>
      <c r="B821" t="s">
        <v>1</v>
      </c>
      <c r="C821">
        <v>820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0.62876416666666668</v>
      </c>
      <c r="B822" t="s">
        <v>1</v>
      </c>
      <c r="C822">
        <v>821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0.62876428240740745</v>
      </c>
      <c r="B823" t="s">
        <v>2</v>
      </c>
      <c r="C823">
        <v>822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0.62876439814814811</v>
      </c>
      <c r="B824" t="s">
        <v>2</v>
      </c>
      <c r="C824">
        <v>823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0.62876451388888888</v>
      </c>
      <c r="B825" t="s">
        <v>2</v>
      </c>
      <c r="C825">
        <v>824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0.62876462962962965</v>
      </c>
      <c r="B826" t="s">
        <v>2</v>
      </c>
      <c r="C826">
        <v>825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0.62876474537037041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0.62876486111111107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0.62876497685185184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0.62876509259259261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0.62876520833333338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0.62876532407407404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0.62876543981481481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0.62876555555555558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0.62876567129629635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0.62876578703703701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0.62876590277777777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0.62876601851851854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0.62876613425925931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0.62876624999999997</v>
      </c>
      <c r="B840" t="s">
        <v>1</v>
      </c>
      <c r="C840">
        <v>839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0.62876636574074074</v>
      </c>
      <c r="B841" t="s">
        <v>1</v>
      </c>
      <c r="C841">
        <v>840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0.62876648148148151</v>
      </c>
      <c r="B842" t="s">
        <v>1</v>
      </c>
      <c r="C842">
        <v>841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0.62876659722222217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0.62876671296296294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0.62876682870370371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0.62876694444444448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0.62876706018518513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0.62876716435185187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0.62876729166666667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0.62876740740740744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0.6287675231481481</v>
      </c>
      <c r="B851" t="s">
        <v>1</v>
      </c>
      <c r="C851">
        <v>850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0.62876763888888887</v>
      </c>
      <c r="B852" t="s">
        <v>1</v>
      </c>
      <c r="C852">
        <v>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0.62876775462962964</v>
      </c>
      <c r="B853" t="s">
        <v>2</v>
      </c>
      <c r="C853">
        <v>852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0.62876787037037041</v>
      </c>
      <c r="B854" t="s">
        <v>2</v>
      </c>
      <c r="C854">
        <v>853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0.62876798611111107</v>
      </c>
      <c r="B855" t="s">
        <v>2</v>
      </c>
      <c r="C855">
        <v>854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0.6287680902777778</v>
      </c>
      <c r="B856" t="s">
        <v>2</v>
      </c>
      <c r="C856">
        <v>855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0.62876820601851857</v>
      </c>
      <c r="B857" t="s">
        <v>1</v>
      </c>
      <c r="C857">
        <v>856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0.62876832175925923</v>
      </c>
      <c r="B858" t="s">
        <v>1</v>
      </c>
      <c r="C858">
        <v>857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0.62876844907407403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0.62876855324074077</v>
      </c>
      <c r="B860" t="s">
        <v>1</v>
      </c>
      <c r="C860">
        <v>859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0.62876866898148143</v>
      </c>
      <c r="B861" t="s">
        <v>1</v>
      </c>
      <c r="C861">
        <v>860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0.6287687847222222</v>
      </c>
      <c r="B862" t="s">
        <v>1</v>
      </c>
      <c r="C862">
        <v>861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0.62876890046296297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0.62876901620370373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0.62876913194444439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0.62876924768518516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0.62876936342592593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0.6287694791666667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0.62876959490740736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0.62876971064814813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0.62876983796296293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0.62876994212962967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0.62877005787037032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0.62877017361111109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0.62877028935185186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0.62877040509259263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0.62877052083333329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0.62877063657407406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0.6287708680555556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0.62877098379629626</v>
      </c>
      <c r="B880" t="s">
        <v>1</v>
      </c>
      <c r="C880">
        <v>879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0.62877109953703703</v>
      </c>
      <c r="B881" t="s">
        <v>1</v>
      </c>
      <c r="C881">
        <v>880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0.6287712152777778</v>
      </c>
      <c r="B882" t="s">
        <v>2</v>
      </c>
      <c r="C882">
        <v>881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0.62877133101851856</v>
      </c>
      <c r="B883" t="s">
        <v>2</v>
      </c>
      <c r="C883">
        <v>882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0.62877144675925922</v>
      </c>
      <c r="B884" t="s">
        <v>2</v>
      </c>
      <c r="C884">
        <v>883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0.62877156249999999</v>
      </c>
      <c r="B885" t="s">
        <v>2</v>
      </c>
      <c r="C885">
        <v>884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0.62877167824074076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0.62877179398148153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0.62877190972222219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0.62877202546296296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0.62877214120370373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0.6287722569444445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0.62877237268518515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0.62877248842592592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0.62877260416666669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0.62877271990740746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0.62877283564814812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0.62877295138888889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0.62877306712962966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0.62877318287037032</v>
      </c>
      <c r="B899" t="s">
        <v>1</v>
      </c>
      <c r="C899">
        <v>898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0.62877329861111109</v>
      </c>
      <c r="B900" t="s">
        <v>1</v>
      </c>
      <c r="C900">
        <v>899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0.62877341435185186</v>
      </c>
      <c r="B901" t="s">
        <v>1</v>
      </c>
      <c r="C901">
        <v>900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0.62877353009259263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0.62877364583333328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0.62877376157407405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0.62877387731481482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0.62877399305555559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0.62877410879629625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0.62877422453703702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0.62877432870370376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0.62877444444444441</v>
      </c>
      <c r="B910" t="s">
        <v>1</v>
      </c>
      <c r="C910">
        <v>909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0.62877457175925922</v>
      </c>
      <c r="B911" t="s">
        <v>1</v>
      </c>
      <c r="C911">
        <v>910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0.62877468749999998</v>
      </c>
      <c r="B912" t="s">
        <v>2</v>
      </c>
      <c r="C912">
        <v>911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0.62877480324074075</v>
      </c>
      <c r="B913" t="s">
        <v>2</v>
      </c>
      <c r="C913">
        <v>912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0.62877491898148152</v>
      </c>
      <c r="B914" t="s">
        <v>2</v>
      </c>
      <c r="C914">
        <v>913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0.62877502314814815</v>
      </c>
      <c r="B915" t="s">
        <v>2</v>
      </c>
      <c r="C915">
        <v>914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0.62877515046296295</v>
      </c>
      <c r="B916" t="s">
        <v>1</v>
      </c>
      <c r="C916">
        <v>915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0.62877526620370372</v>
      </c>
      <c r="B917" t="s">
        <v>1</v>
      </c>
      <c r="C917">
        <v>916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0.62877538194444449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0.62877548611111111</v>
      </c>
      <c r="B919" t="s">
        <v>1</v>
      </c>
      <c r="C919">
        <v>918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0.62877560185185188</v>
      </c>
      <c r="B920" t="s">
        <v>1</v>
      </c>
      <c r="C920">
        <v>919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0.62877571759259254</v>
      </c>
      <c r="B921" t="s">
        <v>1</v>
      </c>
      <c r="C921">
        <v>920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0.62877583333333331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0.62877594907407408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0.62877606481481485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0.62877618055555551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0.62877629629629628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0.62877641203703705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0.62877652777777782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0.62877664351851847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0.62877675925925924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0.62877687500000001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0.62877699074074078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0.62877710648148144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0.62877722222222221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0.62877733796296298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0.62877745370370375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0.62877756944444441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0.62877769675925921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0.62877780092592594</v>
      </c>
      <c r="B939" t="s">
        <v>1</v>
      </c>
      <c r="C939">
        <v>938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0.62877791666666671</v>
      </c>
      <c r="B940" t="s">
        <v>1</v>
      </c>
      <c r="C940">
        <v>939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0.62877804398148152</v>
      </c>
      <c r="B941" t="s">
        <v>1</v>
      </c>
      <c r="C941">
        <v>940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0.62877814814814814</v>
      </c>
      <c r="B942" t="s">
        <v>2</v>
      </c>
      <c r="C942">
        <v>941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0.62877826388888891</v>
      </c>
      <c r="B943" t="s">
        <v>2</v>
      </c>
      <c r="C943">
        <v>942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0.62877837962962968</v>
      </c>
      <c r="B944" t="s">
        <v>2</v>
      </c>
      <c r="C944">
        <v>943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0.62877849537037034</v>
      </c>
      <c r="B945" t="s">
        <v>2</v>
      </c>
      <c r="C945">
        <v>944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0.62877861111111111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0.62877872685185188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0.62877884259259265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0.6287789583333333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0.62877907407407407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0.62877918981481484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0.6287793055555555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0.62877942129629627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0.62877953703703704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0.62877965277777781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0.62877976851851847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0.62877988425925924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0.62878000000000001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0.62878011574074077</v>
      </c>
      <c r="B959" t="s">
        <v>1</v>
      </c>
      <c r="C959">
        <v>958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0.62878023148148143</v>
      </c>
      <c r="B960" t="s">
        <v>1</v>
      </c>
      <c r="C960">
        <v>959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0.6287803472222222</v>
      </c>
      <c r="B961" t="s">
        <v>1</v>
      </c>
      <c r="C961">
        <v>960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0.62878046296296297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0.62878057870370374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0.6287806944444444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0.62878081018518517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0.62878091435185191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0.62878104166666671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0.62878115740740737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0.62878127314814813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0.6287813888888889</v>
      </c>
      <c r="B970" t="s">
        <v>1</v>
      </c>
      <c r="C970">
        <v>969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0.62878150462962967</v>
      </c>
      <c r="B971" t="s">
        <v>1</v>
      </c>
      <c r="C971">
        <v>970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0.62878162037037033</v>
      </c>
      <c r="B972" t="s">
        <v>2</v>
      </c>
      <c r="C972">
        <v>971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0.6287817361111111</v>
      </c>
      <c r="B973" t="s">
        <v>2</v>
      </c>
      <c r="C973">
        <v>972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0.62878185185185187</v>
      </c>
      <c r="B974" t="s">
        <v>2</v>
      </c>
      <c r="C974">
        <v>973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0.62878196759259264</v>
      </c>
      <c r="B975" t="s">
        <v>2</v>
      </c>
      <c r="C975">
        <v>974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0.62878207175925926</v>
      </c>
      <c r="B976" t="s">
        <v>1</v>
      </c>
      <c r="C976">
        <v>975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0.62878219907407407</v>
      </c>
      <c r="B977" t="s">
        <v>1</v>
      </c>
      <c r="C977">
        <v>976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0.6287824305555556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0.62878253472222223</v>
      </c>
      <c r="B979" t="s">
        <v>1</v>
      </c>
      <c r="C979">
        <v>978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0.62878266203703703</v>
      </c>
      <c r="B980" t="s">
        <v>1</v>
      </c>
      <c r="C980">
        <v>979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0.62878276620370366</v>
      </c>
      <c r="B981" t="s">
        <v>1</v>
      </c>
      <c r="C981">
        <v>980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0.62878288194444443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0.6287829976851852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0.62878311342592597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0.62878322916666662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0.62878334490740739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0.62878346064814816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0.62878358796296296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0.62878369212962959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0.62878380787037036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0.62878392361111113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0.6287840393518519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0.62878415509259256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0.62878427083333333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4D41-6857-4A7E-80A3-C8DF39D63BF5}">
  <dimension ref="A1:S994"/>
  <sheetViews>
    <sheetView workbookViewId="0">
      <selection activeCell="K31" sqref="K31"/>
    </sheetView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0.62808703703703705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0.62808715277777782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0.62808726851851848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0.62808738425925925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0.62808750000000002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0.62808761574074079</v>
      </c>
      <c r="B7" t="s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0.62808773148148145</v>
      </c>
      <c r="B8" t="s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0.62808784722222222</v>
      </c>
      <c r="B9" t="s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0.62808796296296299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0.62808807870370376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0.62808819444444441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0.62808831018518518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0.62808842592592595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0.62808854166666672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0.62808865740740738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0.62808877314814815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0.62808888888888892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0.62808912037037035</v>
      </c>
      <c r="B19" t="s">
        <v>2</v>
      </c>
      <c r="C19">
        <v>18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0.62808923611111112</v>
      </c>
      <c r="B20" t="s">
        <v>2</v>
      </c>
      <c r="C20">
        <v>19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0.62808935185185188</v>
      </c>
      <c r="B21" t="s">
        <v>2</v>
      </c>
      <c r="C21">
        <v>20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0.62808946759259254</v>
      </c>
      <c r="B22" t="s">
        <v>2</v>
      </c>
      <c r="C22">
        <v>21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0.62808958333333331</v>
      </c>
      <c r="B23" t="s">
        <v>2</v>
      </c>
      <c r="C23">
        <v>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0.62808969907407408</v>
      </c>
      <c r="B24" t="s">
        <v>2</v>
      </c>
      <c r="C24">
        <v>23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0.62808981481481485</v>
      </c>
      <c r="B25" t="s">
        <v>2</v>
      </c>
      <c r="C25">
        <v>24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0.62808993055555551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0.62809004629629628</v>
      </c>
      <c r="B27" t="s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0.62809016203703705</v>
      </c>
      <c r="B28" t="s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0.62809027777777782</v>
      </c>
      <c r="B29" t="s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0.62809039351851847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0.62809050925925924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0.62809062500000001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0.62809074074074078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0.62809085648148144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0.62809097222222221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0.62809108796296298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0.62809120370370375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0.62809131944444441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0.62809143518518518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0.6280915393518518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0.62809166666666671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0.62809178240740737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0.62809189814814814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0.62809201388888891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0.62809212962962968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0.62809223379629631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0.62809234953703708</v>
      </c>
      <c r="B47" t="s">
        <v>1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0.62809246527777773</v>
      </c>
      <c r="B48" t="s">
        <v>1</v>
      </c>
      <c r="C48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0.6280925810185185</v>
      </c>
      <c r="B49" t="s">
        <v>1</v>
      </c>
      <c r="C49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0.62809269675925927</v>
      </c>
      <c r="B50" t="s">
        <v>1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0.62809281250000004</v>
      </c>
      <c r="B51" t="s">
        <v>1</v>
      </c>
      <c r="C51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0.6280929282407407</v>
      </c>
      <c r="B52" t="s">
        <v>1</v>
      </c>
      <c r="C52">
        <v>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0.62809304398148147</v>
      </c>
      <c r="B53" t="s">
        <v>1</v>
      </c>
      <c r="C53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0.62809315972222224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0.62809328703703704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0.62809339120370367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0.62809350694444444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0.6280936226851852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0.62809373842592597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0.62809385416666663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0.6280939699074074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0.62809408564814817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0.62809420138888894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0.6280943171296296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0.62809443287037037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0.62809454861111114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0.62809466435185191</v>
      </c>
      <c r="B67" t="s">
        <v>1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0.62809478009259256</v>
      </c>
      <c r="B68" t="s">
        <v>1</v>
      </c>
      <c r="C68">
        <v>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0.62809489583333333</v>
      </c>
      <c r="B69" t="s">
        <v>1</v>
      </c>
      <c r="C69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0.6280950115740741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0.62809512731481476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0.62809524305555553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0.6280953587962963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0.62809547453703707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0.62809559027777773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0.6280957060185185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0.62809582175925927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0.62809593750000003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0.62809605324074069</v>
      </c>
      <c r="B79" t="s">
        <v>2</v>
      </c>
      <c r="C79">
        <v>78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0.62809616898148146</v>
      </c>
      <c r="B80" t="s">
        <v>2</v>
      </c>
      <c r="C80">
        <v>79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0.62809628472222223</v>
      </c>
      <c r="B81" t="s">
        <v>2</v>
      </c>
      <c r="C81">
        <v>80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0.628096400462963</v>
      </c>
      <c r="B82" t="s">
        <v>2</v>
      </c>
      <c r="C82">
        <v>81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0.62809651620370366</v>
      </c>
      <c r="B83" t="s">
        <v>2</v>
      </c>
      <c r="C83">
        <v>82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0.62809663194444443</v>
      </c>
      <c r="B84" t="s">
        <v>2</v>
      </c>
      <c r="C84">
        <v>83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0.6280967476851852</v>
      </c>
      <c r="B85" t="s">
        <v>2</v>
      </c>
      <c r="C85">
        <v>84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0.62809686342592597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0.62809697916666662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0.62809709490740739</v>
      </c>
      <c r="B88" t="s">
        <v>1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0.62809721064814816</v>
      </c>
      <c r="B89" t="s">
        <v>1</v>
      </c>
      <c r="C89">
        <v>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0.62809732638888893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0.62809744212962959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0.62809755787037036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0.62809767361111113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0.6280977893518519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0.62809790509259256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0.62809802083333333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0.6280981365740741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0.62809825231481486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0.62809836805555552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0.62809848379629629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0.62809859953703706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0.62809871527777783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0.62809881944444446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0.62809894675925926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0.62809906250000003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0.62809917824074069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0.62809929398148145</v>
      </c>
      <c r="B107" t="s">
        <v>1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0.62809940972222222</v>
      </c>
      <c r="B108" t="s">
        <v>1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0.62809951388888885</v>
      </c>
      <c r="B109" t="s">
        <v>1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0.62809964120370365</v>
      </c>
      <c r="B110" t="s">
        <v>1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0.62809975694444442</v>
      </c>
      <c r="B111" t="s">
        <v>1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0.62809986111111116</v>
      </c>
      <c r="B112" t="s">
        <v>1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0.62809997685185182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0.62810010416666662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0.62810020833333335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0.62810033564814816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0.62810043981481478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0.62810067129629632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0.62810078703703709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0.62810090277777775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0.62810101851851852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0.62810113425925929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0.62810125000000006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0.62810136574074071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0.62810148148148148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0.62810159722222225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0.62810171296296291</v>
      </c>
      <c r="B127" t="s">
        <v>1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0.62810182870370368</v>
      </c>
      <c r="B128" t="s">
        <v>1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0.62810194444444445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0.62810206018518522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0.62810217592592588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0.62810229166666665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0.62810240740740741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0.62810252314814818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0.62810263888888884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0.62810275462962961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0.62810287037037038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0.62810298611111115</v>
      </c>
      <c r="B138" t="s">
        <v>2</v>
      </c>
      <c r="C138">
        <v>137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0.62810310185185181</v>
      </c>
      <c r="B139" t="s">
        <v>2</v>
      </c>
      <c r="C139">
        <v>138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0.62810321759259258</v>
      </c>
      <c r="B140" t="s">
        <v>2</v>
      </c>
      <c r="C140">
        <v>139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0.62810333333333335</v>
      </c>
      <c r="B141" t="s">
        <v>2</v>
      </c>
      <c r="C141">
        <v>140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0.62810344907407412</v>
      </c>
      <c r="B142" t="s">
        <v>2</v>
      </c>
      <c r="C142">
        <v>141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0.62810356481481477</v>
      </c>
      <c r="B143" t="s">
        <v>2</v>
      </c>
      <c r="C143">
        <v>142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0.62810368055555554</v>
      </c>
      <c r="B144" t="s">
        <v>2</v>
      </c>
      <c r="C144">
        <v>143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0.62810379629629631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0.62810391203703708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0.62810402777777774</v>
      </c>
      <c r="B147" t="s">
        <v>1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0.62810414351851851</v>
      </c>
      <c r="B148" t="s">
        <v>1</v>
      </c>
      <c r="C148">
        <v>147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0.62810425925925928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0.62810437500000005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0.62810449074074071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0.62810460648148148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0.62810472222222224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0.62810483796296301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0.62810495370370367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0.62810506944444444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0.62810518518518521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0.62810530092592598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0.62810541666666664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0.62810553240740741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0.62810564814814818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0.62810576388888884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0.6281058796296296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0.62810599537037037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0.62810611111111114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0.6281062268518518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0.62810634259259257</v>
      </c>
      <c r="B167" t="s">
        <v>1</v>
      </c>
      <c r="C167">
        <v>166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0.62810645833333334</v>
      </c>
      <c r="B168" t="s">
        <v>1</v>
      </c>
      <c r="C168">
        <v>167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0.62810656249999997</v>
      </c>
      <c r="B169" t="s">
        <v>1</v>
      </c>
      <c r="C169">
        <v>168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0.62810667824074073</v>
      </c>
      <c r="B170" t="s">
        <v>1</v>
      </c>
      <c r="C170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0.6281067939814815</v>
      </c>
      <c r="B171" t="s">
        <v>1</v>
      </c>
      <c r="C171">
        <v>170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0.62810692129629631</v>
      </c>
      <c r="B172" t="s">
        <v>1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0.62810702546296293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0.62810715277777773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0.62810725694444447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0.62810737268518524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0.62810750000000004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0.62810760416666667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0.62810773148148147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0.62810784722222224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0.62810795138888886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0.62810806712962963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0.6281081828703704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0.62810829861111106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0.62810841435185183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0.6281085300925926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0.6281086574074074</v>
      </c>
      <c r="B187" t="s">
        <v>1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0.62810876157407403</v>
      </c>
      <c r="B188" t="s">
        <v>1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0.6281088773148148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0.62810899305555556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0.62810910879629633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0.62810922453703699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0.62810934027777776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0.62810945601851853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0.6281095717592593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0.62810968749999996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0.62810980324074073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0.6281099189814815</v>
      </c>
      <c r="B198" t="s">
        <v>2</v>
      </c>
      <c r="C198">
        <v>197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0.62811003472222227</v>
      </c>
      <c r="B199" t="s">
        <v>2</v>
      </c>
      <c r="C199">
        <v>198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0.62811015046296292</v>
      </c>
      <c r="B200" t="s">
        <v>2</v>
      </c>
      <c r="C200">
        <v>199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0.62811026620370369</v>
      </c>
      <c r="B201" t="s">
        <v>2</v>
      </c>
      <c r="C201">
        <v>200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0.62811038194444446</v>
      </c>
      <c r="B202" t="s">
        <v>2</v>
      </c>
      <c r="C202">
        <v>201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0.62811049768518523</v>
      </c>
      <c r="B203" t="s">
        <v>2</v>
      </c>
      <c r="C203">
        <v>202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0.62811061342592589</v>
      </c>
      <c r="B204" t="s">
        <v>2</v>
      </c>
      <c r="C204">
        <v>203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0.62811072916666666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0.62811084490740743</v>
      </c>
      <c r="B206" t="s">
        <v>1</v>
      </c>
      <c r="C206">
        <v>205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0.6281109606481482</v>
      </c>
      <c r="B207" t="s">
        <v>1</v>
      </c>
      <c r="C207">
        <v>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0.62811107638888886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0.62811119212962963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0.62811130787037039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0.62811142361111116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0.62811153935185182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0.62811165509259259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0.62811177083333336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0.62811188657407402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0.62811200231481479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0.62811223379629633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0.62811234953703698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0.62811246527777775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0.62811258101851852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0.62811269675925929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0.62811281249999995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0.62811292824074072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0.62811304398148149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0.62811315972222226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0.62811327546296292</v>
      </c>
      <c r="B226" t="s">
        <v>1</v>
      </c>
      <c r="C226">
        <v>225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0.62811339120370369</v>
      </c>
      <c r="B227" t="s">
        <v>1</v>
      </c>
      <c r="C227">
        <v>226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0.62811350694444446</v>
      </c>
      <c r="B228" t="s">
        <v>1</v>
      </c>
      <c r="C228">
        <v>227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0.62811362268518522</v>
      </c>
      <c r="B229" t="s">
        <v>1</v>
      </c>
      <c r="C229">
        <v>228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0.62811372685185185</v>
      </c>
      <c r="B230" t="s">
        <v>1</v>
      </c>
      <c r="C230">
        <v>229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0.62811384259259262</v>
      </c>
      <c r="B231" t="s">
        <v>1</v>
      </c>
      <c r="C231">
        <v>230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0.62811396990740742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0.62811408564814819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0.62811420138888885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0.62811431712962962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0.62811442129629624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0.62811453703703701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0.62811466435185181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0.62811476851851855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0.62811488425925921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0.62811501157407412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0.62811512731481478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0.62811523148148152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0.62811534722222218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0.62811546296296294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0.62811559027777775</v>
      </c>
      <c r="B246" t="s">
        <v>1</v>
      </c>
      <c r="C246">
        <v>245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0.62811570601851852</v>
      </c>
      <c r="B247" t="s">
        <v>1</v>
      </c>
      <c r="C247">
        <v>246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0.62811582175925929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0.62811593750000005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0.62811604166666668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0.62811615740740745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0.62811627314814811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0.62811640046296291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0.62811651620370368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0.62811662037037042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0.62811673611111107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0.62811685185185184</v>
      </c>
      <c r="B257" t="s">
        <v>2</v>
      </c>
      <c r="C257">
        <v>256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0.62811696759259261</v>
      </c>
      <c r="B258" t="s">
        <v>2</v>
      </c>
      <c r="C258">
        <v>257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0.62811708333333338</v>
      </c>
      <c r="B259" t="s">
        <v>2</v>
      </c>
      <c r="C259">
        <v>258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0.62811719907407404</v>
      </c>
      <c r="B260" t="s">
        <v>2</v>
      </c>
      <c r="C260">
        <v>259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0.62811731481481481</v>
      </c>
      <c r="B261" t="s">
        <v>2</v>
      </c>
      <c r="C261">
        <v>260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0.62811743055555558</v>
      </c>
      <c r="B262" t="s">
        <v>2</v>
      </c>
      <c r="C262">
        <v>261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0.62811754629629635</v>
      </c>
      <c r="B263" t="s">
        <v>2</v>
      </c>
      <c r="C263">
        <v>262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0.62811766203703701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0.62811777777777777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0.62811789351851854</v>
      </c>
      <c r="B266" t="s">
        <v>1</v>
      </c>
      <c r="C266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0.62811800925925931</v>
      </c>
      <c r="B267" t="s">
        <v>1</v>
      </c>
      <c r="C267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0.62811812499999997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0.62811824074074074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0.62811835648148151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0.62811847222222217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0.62811858796296294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0.62811870370370371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0.62811881944444448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0.62811893518518513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0.6281190509259259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0.62811916666666667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0.62811928240740744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0.6281193981481481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0.62811951388888887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0.62811962962962964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0.62811974537037041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0.62811986111111107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0.62811997685185184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0.6281200925925926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0.62812020833333337</v>
      </c>
      <c r="B286" t="s">
        <v>1</v>
      </c>
      <c r="C286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0.62812032407407403</v>
      </c>
      <c r="B287" t="s">
        <v>1</v>
      </c>
      <c r="C287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0.6281204398148148</v>
      </c>
      <c r="B288" t="s">
        <v>1</v>
      </c>
      <c r="C288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0.62812055555555557</v>
      </c>
      <c r="B289" t="s">
        <v>1</v>
      </c>
      <c r="C289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0.62812067129629634</v>
      </c>
      <c r="B290" t="s">
        <v>1</v>
      </c>
      <c r="C290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0.628120787037037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0.62812090277777777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0.62812100694444439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0.62812112268518516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0.62812124999999996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0.62812136574074073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0.6281214814814815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0.62812159722222227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0.6281217013888889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0.62812181712962967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0.62812193287037033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0.62812204861111109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0.6281221759259259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0.62812229166666667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0.62812239583333329</v>
      </c>
      <c r="B305" t="s">
        <v>1</v>
      </c>
      <c r="C305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0.62812251157407406</v>
      </c>
      <c r="B306" t="s">
        <v>1</v>
      </c>
      <c r="C306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0.62812262731481483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0.6281227430555556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0.6281228703703704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0.62812297453703703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0.6281230902777778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0.62812320601851857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0.62812332175925922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0.62812343749999999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0.62812355324074076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0.62812379629629633</v>
      </c>
      <c r="B316" t="s">
        <v>2</v>
      </c>
      <c r="C316">
        <v>315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0.62812390046296296</v>
      </c>
      <c r="B317" t="s">
        <v>2</v>
      </c>
      <c r="C317">
        <v>316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0.62812401620370373</v>
      </c>
      <c r="B318" t="s">
        <v>2</v>
      </c>
      <c r="C318">
        <v>317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0.6281241319444445</v>
      </c>
      <c r="B319" t="s">
        <v>2</v>
      </c>
      <c r="C319">
        <v>318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0.62812424768518516</v>
      </c>
      <c r="B320" t="s">
        <v>2</v>
      </c>
      <c r="C320">
        <v>319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0.62812436342592592</v>
      </c>
      <c r="B321" t="s">
        <v>2</v>
      </c>
      <c r="C321">
        <v>320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0.62812447916666669</v>
      </c>
      <c r="B322" t="s">
        <v>2</v>
      </c>
      <c r="C322">
        <v>321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0.62812459490740735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0.62812471064814812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0.62812482638888889</v>
      </c>
      <c r="B325" t="s">
        <v>1</v>
      </c>
      <c r="C325">
        <v>324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0.62812494212962966</v>
      </c>
      <c r="B326" t="s">
        <v>1</v>
      </c>
      <c r="C326">
        <v>325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0.62812505787037032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0.62812517361111109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0.62812528935185186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0.62812540509259263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0.62812552083333328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0.62812563657407405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0.62812575231481482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0.62812586805555559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0.62812598379629625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0.62812609953703702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0.62812621527777779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0.62812633101851856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0.62812644675925922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0.62812656249999999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0.62812667824074075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0.62812679398148152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0.62812690972222218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0.62812702546296295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0.62812714120370372</v>
      </c>
      <c r="B345" t="s">
        <v>1</v>
      </c>
      <c r="C345">
        <v>344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0.62812725694444449</v>
      </c>
      <c r="B346" t="s">
        <v>1</v>
      </c>
      <c r="C346">
        <v>345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0.62812737268518515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0.62812748842592592</v>
      </c>
      <c r="B348" t="s">
        <v>1</v>
      </c>
      <c r="C348">
        <v>347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0.62812760416666669</v>
      </c>
      <c r="B349" t="s">
        <v>1</v>
      </c>
      <c r="C349">
        <v>348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0.62812771990740746</v>
      </c>
      <c r="B350" t="s">
        <v>1</v>
      </c>
      <c r="C350">
        <v>349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0.62812783564814811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0.62812795138888888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0.62812806712962965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0.62812818287037042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0.62812828703703705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0.62812841435185185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0.62812853009259262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0.62812864583333339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0.62812876157407405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0.62812887731481482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0.62812898148148144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0.62812909722222221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0.62812921296296298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0.62812934027777778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0.62812945601851855</v>
      </c>
      <c r="B365" t="s">
        <v>1</v>
      </c>
      <c r="C365">
        <v>364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0.62812957175925921</v>
      </c>
      <c r="B366" t="s">
        <v>1</v>
      </c>
      <c r="C366">
        <v>365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0.62812968749999998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0.62812979166666671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0.62812990740740737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0.62813002314814814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0.62813015046296294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0.62813025462962968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0.62813037037037034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0.62813048611111111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0.62813060185185188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0.62813071759259265</v>
      </c>
      <c r="B376" t="s">
        <v>2</v>
      </c>
      <c r="C376">
        <v>375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0.6281308333333333</v>
      </c>
      <c r="B377" t="s">
        <v>2</v>
      </c>
      <c r="C377">
        <v>376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0.62813094907407407</v>
      </c>
      <c r="B378" t="s">
        <v>2</v>
      </c>
      <c r="C378">
        <v>377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0.62813106481481484</v>
      </c>
      <c r="B379" t="s">
        <v>2</v>
      </c>
      <c r="C379">
        <v>378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0.6281311805555555</v>
      </c>
      <c r="B380" t="s">
        <v>2</v>
      </c>
      <c r="C380">
        <v>379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0.62813129629629627</v>
      </c>
      <c r="B381" t="s">
        <v>2</v>
      </c>
      <c r="C381">
        <v>380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0.62813141203703704</v>
      </c>
      <c r="B382" t="s">
        <v>2</v>
      </c>
      <c r="C382">
        <v>381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0.62813152777777781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0.62813164351851847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0.62813175925925924</v>
      </c>
      <c r="B385" t="s">
        <v>1</v>
      </c>
      <c r="C385">
        <v>384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0.62813187500000001</v>
      </c>
      <c r="B386" t="s">
        <v>1</v>
      </c>
      <c r="C386">
        <v>385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0.62813199074074078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0.62813210648148143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0.6281322222222222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0.62813233796296297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0.62813245370370374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0.6281325694444444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0.62813268518518517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0.62813281249999997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0.62813291666666671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0.62813303240740737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0.62813314814814813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0.6281332638888889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0.62813337962962967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0.62813349537037033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0.6281336111111111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0.62813372685185187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0.62813384259259264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0.6281339583333333</v>
      </c>
      <c r="B404" t="s">
        <v>1</v>
      </c>
      <c r="C404">
        <v>403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0.62813407407407407</v>
      </c>
      <c r="B405" t="s">
        <v>1</v>
      </c>
      <c r="C405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0.62813418981481484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0.62813430555555561</v>
      </c>
      <c r="B407" t="s">
        <v>1</v>
      </c>
      <c r="C407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0.62813442129629626</v>
      </c>
      <c r="B408" t="s">
        <v>1</v>
      </c>
      <c r="C408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0.62813453703703703</v>
      </c>
      <c r="B409" t="s">
        <v>1</v>
      </c>
      <c r="C409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0.6281346527777778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0.62813476851851857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0.62813488425925923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0.628135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0.62813511574074077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0.6281353472222222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0.62813546296296296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0.62813557870370373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0.62813568287037036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0.62813581018518516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0.62813592592592593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0.6281360416666667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0.62813614583333333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0.62813627314814813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0.62813637731481486</v>
      </c>
      <c r="B424" t="s">
        <v>1</v>
      </c>
      <c r="C424">
        <v>423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0.62813649305555552</v>
      </c>
      <c r="B425" t="s">
        <v>1</v>
      </c>
      <c r="C425">
        <v>424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0.62813660879629629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0.62813672453703706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0.62813684027777783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0.62813695601851849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0.62813707175925926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0.62813718750000003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0.62813730324074069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0.62813741898148145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0.62813753472222222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0.62813765046296299</v>
      </c>
      <c r="B435" t="s">
        <v>2</v>
      </c>
      <c r="C435">
        <v>434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0.62813776620370365</v>
      </c>
      <c r="B436" t="s">
        <v>2</v>
      </c>
      <c r="C436">
        <v>435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0.62813788194444442</v>
      </c>
      <c r="B437" t="s">
        <v>2</v>
      </c>
      <c r="C437">
        <v>436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0.62813799768518519</v>
      </c>
      <c r="B438" t="s">
        <v>2</v>
      </c>
      <c r="C438">
        <v>437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0.62813811342592596</v>
      </c>
      <c r="B439" t="s">
        <v>2</v>
      </c>
      <c r="C439">
        <v>438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0.62813822916666662</v>
      </c>
      <c r="B440" t="s">
        <v>2</v>
      </c>
      <c r="C440">
        <v>439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0.62813834490740739</v>
      </c>
      <c r="B441" t="s">
        <v>2</v>
      </c>
      <c r="C441">
        <v>440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0.62813846064814816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0.62813857638888893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0.62813869212962958</v>
      </c>
      <c r="B444" t="s">
        <v>1</v>
      </c>
      <c r="C444">
        <v>443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0.62813880787037035</v>
      </c>
      <c r="B445" t="s">
        <v>1</v>
      </c>
      <c r="C445">
        <v>444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0.62813892361111112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0.62813903935185189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0.62813915509259255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0.62813927083333332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0.62813938657407409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0.62813950231481486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0.62813961805555552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0.62813973379629628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0.62813984953703705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0.62813996527777782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0.62814008101851848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0.62814019675925925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0.62814031250000002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0.62814042824074079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0.62814054398148145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0.62814065972222222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0.62814077546296299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0.62814089120370376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0.62814100694444441</v>
      </c>
      <c r="B464" t="s">
        <v>1</v>
      </c>
      <c r="C464">
        <v>463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0.62814112268518518</v>
      </c>
      <c r="B465" t="s">
        <v>1</v>
      </c>
      <c r="C465">
        <v>464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0.62814123842592595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0.62814135416666672</v>
      </c>
      <c r="B467" t="s">
        <v>1</v>
      </c>
      <c r="C467">
        <v>466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0.62814146990740738</v>
      </c>
      <c r="B468" t="s">
        <v>1</v>
      </c>
      <c r="C468">
        <v>467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0.62814158564814815</v>
      </c>
      <c r="B469" t="s">
        <v>1</v>
      </c>
      <c r="C469">
        <v>468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0.62814170138888892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0.62814181712962958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0.62814193287037035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0.62814204861111111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0.62814216435185188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0.62814228009259254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0.62814239583333331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0.62814251157407408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0.62814262731481485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0.62814273148148148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0.62814285879629628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0.62814297453703705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0.62814309027777782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0.62814320601851847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0.62814331018518521</v>
      </c>
      <c r="B484" t="s">
        <v>1</v>
      </c>
      <c r="C484">
        <v>483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0.62814343750000001</v>
      </c>
      <c r="B485" t="s">
        <v>1</v>
      </c>
      <c r="C485">
        <v>484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0.62814355324074078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0.62814366898148144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0.62814377314814818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0.62814388888888883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0.6281440046296296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0.62814412037037037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0.62814423611111114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0.6281443518518518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0.62814446759259257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0.62814458333333334</v>
      </c>
      <c r="B495" t="s">
        <v>2</v>
      </c>
      <c r="C495">
        <v>494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0.62814469907407411</v>
      </c>
      <c r="B496" t="s">
        <v>2</v>
      </c>
      <c r="C496">
        <v>495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0.62814481481481477</v>
      </c>
      <c r="B497" t="s">
        <v>2</v>
      </c>
      <c r="C497">
        <v>496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0.62814493055555554</v>
      </c>
      <c r="B498" t="s">
        <v>2</v>
      </c>
      <c r="C498">
        <v>497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0.62814504629629631</v>
      </c>
      <c r="B499" t="s">
        <v>2</v>
      </c>
      <c r="C499">
        <v>498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0.62814516203703707</v>
      </c>
      <c r="B500" t="s">
        <v>2</v>
      </c>
      <c r="C500">
        <v>499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0.62814527777777773</v>
      </c>
      <c r="B501" t="s">
        <v>2</v>
      </c>
      <c r="C501">
        <v>500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0.62814540509259265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0.62814550925925927</v>
      </c>
      <c r="B503" t="s">
        <v>1</v>
      </c>
      <c r="C503">
        <v>502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0.62814562500000004</v>
      </c>
      <c r="B504" t="s">
        <v>1</v>
      </c>
      <c r="C504">
        <v>503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0.6281457407407407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0.62814585648148147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0.62814597222222224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0.62814608796296301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0.62814620370370366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0.62814631944444443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0.6281464351851852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0.62814655092592597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0.62814666666666663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0.62814689814814817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0.62814701388888894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0.6281471296296296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0.62814724537037037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0.62814736111111114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0.6281474768518519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0.62814759259259256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0.62814770833333333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0.6281478240740741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0.62814793981481476</v>
      </c>
      <c r="B523" t="s">
        <v>1</v>
      </c>
      <c r="C523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0.62814805555555553</v>
      </c>
      <c r="B524" t="s">
        <v>1</v>
      </c>
      <c r="C524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0.6281481712962963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0.62814828703703707</v>
      </c>
      <c r="B526" t="s">
        <v>1</v>
      </c>
      <c r="C526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0.62814840277777773</v>
      </c>
      <c r="B527" t="s">
        <v>1</v>
      </c>
      <c r="C527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0.62814851851851849</v>
      </c>
      <c r="B528" t="s">
        <v>1</v>
      </c>
      <c r="C528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0.62814863425925926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0.62814875000000003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0.62814886574074069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0.62814898148148146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0.62814909722222223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0.628149212962963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0.62814932870370366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0.62814944444444443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0.62814954861111116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0.62814967592592597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0.62814979166666662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0.62814990740740739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0.62815002314814816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0.62815013888888893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0.62815025462962959</v>
      </c>
      <c r="B543" t="s">
        <v>1</v>
      </c>
      <c r="C543">
        <v>542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0.62815037037037036</v>
      </c>
      <c r="B544" t="s">
        <v>1</v>
      </c>
      <c r="C544">
        <v>543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0.62815048611111113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0.62815059027777775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0.62815071759259256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0.62815082175925929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0.62815094907407409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0.62815106481481486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0.62815118055555552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0.62815128472222226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0.62815140046296292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0.62815152777777783</v>
      </c>
      <c r="B554" t="s">
        <v>2</v>
      </c>
      <c r="C554">
        <v>553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0.62815163194444446</v>
      </c>
      <c r="B555" t="s">
        <v>2</v>
      </c>
      <c r="C555">
        <v>554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0.62815175925925926</v>
      </c>
      <c r="B556" t="s">
        <v>2</v>
      </c>
      <c r="C556">
        <v>555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0.62815187500000003</v>
      </c>
      <c r="B557" t="s">
        <v>2</v>
      </c>
      <c r="C557">
        <v>556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0.62815197916666665</v>
      </c>
      <c r="B558" t="s">
        <v>2</v>
      </c>
      <c r="C558">
        <v>557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0.62815209490740742</v>
      </c>
      <c r="B559" t="s">
        <v>2</v>
      </c>
      <c r="C559">
        <v>558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0.62815221064814819</v>
      </c>
      <c r="B560" t="s">
        <v>2</v>
      </c>
      <c r="C560">
        <v>559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0.62815232638888885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0.62815244212962962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0.62815255787037039</v>
      </c>
      <c r="B563" t="s">
        <v>1</v>
      </c>
      <c r="C563">
        <v>562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0.62815267361111116</v>
      </c>
      <c r="B564" t="s">
        <v>1</v>
      </c>
      <c r="C564">
        <v>563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0.62815278935185181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0.62815290509259258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0.62815302083333335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0.62815313657407412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0.62815325231481478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0.62815336805555555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0.62815348379629632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0.62815359953703709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0.62815371527777775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0.62815383101851852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0.62815394675925929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0.62815406250000005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0.62815417824074071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0.62815429398148148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0.62815440972222225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0.62815452546296291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0.62815464120370368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0.62815475694444445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0.62815487268518522</v>
      </c>
      <c r="B583" t="s">
        <v>1</v>
      </c>
      <c r="C583">
        <v>582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0.62815498842592588</v>
      </c>
      <c r="B584" t="s">
        <v>1</v>
      </c>
      <c r="C584">
        <v>583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0.62815510416666664</v>
      </c>
      <c r="B585" t="s">
        <v>1</v>
      </c>
      <c r="C585">
        <v>584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0.62815521990740741</v>
      </c>
      <c r="B586" t="s">
        <v>1</v>
      </c>
      <c r="C586">
        <v>585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0.62815533564814818</v>
      </c>
      <c r="B587" t="s">
        <v>1</v>
      </c>
      <c r="C587">
        <v>586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0.62815545138888884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0.62815556712962961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0.62815568287037038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0.62815579861111115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0.62815591435185181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0.62815603009259258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0.62815614583333335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0.62815626157407412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0.62815637731481477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0.62815649305555554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0.62815660879629631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0.62815672453703708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0.62815684027777774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0.62815694444444448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0.62815706018518513</v>
      </c>
      <c r="B602" t="s">
        <v>1</v>
      </c>
      <c r="C602">
        <v>601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0.62815718750000005</v>
      </c>
      <c r="B603" t="s">
        <v>1</v>
      </c>
      <c r="C603">
        <v>602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0.62815730324074071</v>
      </c>
      <c r="B604" t="s">
        <v>1</v>
      </c>
      <c r="C604">
        <v>603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0.62815740740740744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0.62815753472222224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0.62815765046296301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0.62815776620370367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0.62815787037037041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0.62815799768518521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0.62815811342592598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0.62815822916666664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0.62815844907407403</v>
      </c>
      <c r="B613" t="s">
        <v>2</v>
      </c>
      <c r="C613">
        <v>612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0.6281585648148148</v>
      </c>
      <c r="B614" t="s">
        <v>2</v>
      </c>
      <c r="C614">
        <v>613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0.62815868055555557</v>
      </c>
      <c r="B615" t="s">
        <v>2</v>
      </c>
      <c r="C615">
        <v>614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0.62815879629629634</v>
      </c>
      <c r="B616" t="s">
        <v>2</v>
      </c>
      <c r="C616">
        <v>615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0.628158912037037</v>
      </c>
      <c r="B617" t="s">
        <v>2</v>
      </c>
      <c r="C617">
        <v>616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0.62815902777777777</v>
      </c>
      <c r="B618" t="s">
        <v>2</v>
      </c>
      <c r="C618">
        <v>617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0.62815914351851854</v>
      </c>
      <c r="B619" t="s">
        <v>2</v>
      </c>
      <c r="C619">
        <v>618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0.62815925925925931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0.62815937499999996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0.62815949074074073</v>
      </c>
      <c r="B622" t="s">
        <v>1</v>
      </c>
      <c r="C622">
        <v>621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0.6281596064814815</v>
      </c>
      <c r="B623" t="s">
        <v>1</v>
      </c>
      <c r="C623">
        <v>622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0.62815972222222227</v>
      </c>
      <c r="B624" t="s">
        <v>1</v>
      </c>
      <c r="C624">
        <v>623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0.62815983796296293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0.6281599537037037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0.62816006944444447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0.62816018518518524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0.6281603009259259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0.62816041666666667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0.62816053240740743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0.62816064814814809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0.62816076388888886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0.62816087962962963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0.6281609953703704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0.62816111111111106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0.62816122685185183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0.6281613425925926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0.62816145833333337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0.62816157407407403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0.62816168981481479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0.62816180555555556</v>
      </c>
      <c r="B642" t="s">
        <v>1</v>
      </c>
      <c r="C642">
        <v>641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0.62816192129629633</v>
      </c>
      <c r="B643" t="s">
        <v>1</v>
      </c>
      <c r="C643">
        <v>642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0.62816203703703699</v>
      </c>
      <c r="B644" t="s">
        <v>1</v>
      </c>
      <c r="C644">
        <v>643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0.62816215277777776</v>
      </c>
      <c r="B645" t="s">
        <v>1</v>
      </c>
      <c r="C645">
        <v>644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0.62816226851851853</v>
      </c>
      <c r="B646" t="s">
        <v>1</v>
      </c>
      <c r="C646">
        <v>645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0.6281623842592593</v>
      </c>
      <c r="B647" t="s">
        <v>1</v>
      </c>
      <c r="C647">
        <v>646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0.62816249999999996</v>
      </c>
      <c r="B648" t="s">
        <v>1</v>
      </c>
      <c r="C648">
        <v>647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0.62816261574074073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0.6281627314814815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0.62816284722222226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0.62816296296296292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0.62816307870370369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0.62816319444444446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0.62816331018518523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0.62816342592592589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0.62816354166666666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0.62816365740740743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0.6281637731481482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0.62816388888888885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0.62816399305555559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0.62816413194444443</v>
      </c>
      <c r="B662" t="s">
        <v>1</v>
      </c>
      <c r="C662">
        <v>661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0.62816423611111116</v>
      </c>
      <c r="B663" t="s">
        <v>1</v>
      </c>
      <c r="C663">
        <v>662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0.62816434027777779</v>
      </c>
      <c r="B664" t="s">
        <v>1</v>
      </c>
      <c r="C664">
        <v>663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0.62816446759259259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0.62816458333333336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0.62816469907407413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0.62816481481481479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0.62816491898148152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0.62816503472222218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0.62816515046296295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0.62816527777777775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0.62816539351851852</v>
      </c>
      <c r="B673" t="s">
        <v>2</v>
      </c>
      <c r="C673">
        <v>672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0.62816550925925929</v>
      </c>
      <c r="B674" t="s">
        <v>2</v>
      </c>
      <c r="C674">
        <v>673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0.62816561342592592</v>
      </c>
      <c r="B675" t="s">
        <v>2</v>
      </c>
      <c r="C675">
        <v>674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0.62816572916666669</v>
      </c>
      <c r="B676" t="s">
        <v>2</v>
      </c>
      <c r="C676">
        <v>675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0.62816584490740746</v>
      </c>
      <c r="B677" t="s">
        <v>2</v>
      </c>
      <c r="C677">
        <v>676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0.62816596064814811</v>
      </c>
      <c r="B678" t="s">
        <v>2</v>
      </c>
      <c r="C678">
        <v>677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0.62816607638888888</v>
      </c>
      <c r="B679" t="s">
        <v>2</v>
      </c>
      <c r="C679">
        <v>678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0.62816619212962965</v>
      </c>
      <c r="B680" t="s">
        <v>2</v>
      </c>
      <c r="C680">
        <v>679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0.62816630787037042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0.62816642361111108</v>
      </c>
      <c r="B682" t="s">
        <v>1</v>
      </c>
      <c r="C682">
        <v>681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0.62816653935185185</v>
      </c>
      <c r="B683" t="s">
        <v>1</v>
      </c>
      <c r="C683">
        <v>682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0.62816665509259262</v>
      </c>
      <c r="B684" t="s">
        <v>1</v>
      </c>
      <c r="C684">
        <v>683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0.62816677083333339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0.62816688657407405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0.62816700231481482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0.62816711805555558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0.62816723379629624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0.62816734953703701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0.62816746527777778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0.62816758101851855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0.62816770833333335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0.62816781249999998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0.62816792824074075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0.62816804398148152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0.62816815972222217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0.62816827546296294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0.62816839120370371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0.62816850694444448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0.62816862268518514</v>
      </c>
      <c r="B701" t="s">
        <v>1</v>
      </c>
      <c r="C701">
        <v>700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0.62816873842592591</v>
      </c>
      <c r="B702" t="s">
        <v>1</v>
      </c>
      <c r="C702">
        <v>701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0.62816885416666668</v>
      </c>
      <c r="B703" t="s">
        <v>1</v>
      </c>
      <c r="C703">
        <v>702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0.62816896990740745</v>
      </c>
      <c r="B704" t="s">
        <v>1</v>
      </c>
      <c r="C704">
        <v>703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0.62816908564814811</v>
      </c>
      <c r="B705" t="s">
        <v>1</v>
      </c>
      <c r="C705">
        <v>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0.62816920138888888</v>
      </c>
      <c r="B706" t="s">
        <v>1</v>
      </c>
      <c r="C706">
        <v>705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0.62816931712962965</v>
      </c>
      <c r="B707" t="s">
        <v>1</v>
      </c>
      <c r="C707">
        <v>706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0.62816943287037041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0.62816954861111107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0.62816966435185184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0.62816978009259261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0.62817001157407404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0.62817012731481481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0.62817024305555558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0.62817035879629635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0.628170474537037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0.62817059027777777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0.62817070601851854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0.62817082175925931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0.62817093749999997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0.62817105324074074</v>
      </c>
      <c r="B721" t="s">
        <v>1</v>
      </c>
      <c r="C721">
        <v>720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0.62817116898148151</v>
      </c>
      <c r="B722" t="s">
        <v>1</v>
      </c>
      <c r="C722">
        <v>721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0.62817128472222217</v>
      </c>
      <c r="B723" t="s">
        <v>1</v>
      </c>
      <c r="C723">
        <v>722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0.62817140046296294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0.62817151620370371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0.62817163194444448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0.6281717361111111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0.6281718634259259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0.62817196759259264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0.6281720833333333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0.62817219907407407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0.62817231481481484</v>
      </c>
      <c r="B732" t="s">
        <v>2</v>
      </c>
      <c r="C732">
        <v>731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0.62817243055555561</v>
      </c>
      <c r="B733" t="s">
        <v>2</v>
      </c>
      <c r="C733">
        <v>732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0.62817254629629626</v>
      </c>
      <c r="B734" t="s">
        <v>2</v>
      </c>
      <c r="C734">
        <v>733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0.62817266203703703</v>
      </c>
      <c r="B735" t="s">
        <v>2</v>
      </c>
      <c r="C735">
        <v>734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0.6281727777777778</v>
      </c>
      <c r="B736" t="s">
        <v>2</v>
      </c>
      <c r="C736">
        <v>735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0.62817289351851857</v>
      </c>
      <c r="B737" t="s">
        <v>2</v>
      </c>
      <c r="C737">
        <v>736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0.62817300925925923</v>
      </c>
      <c r="B738" t="s">
        <v>2</v>
      </c>
      <c r="C738">
        <v>737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0.628173125</v>
      </c>
      <c r="B739" t="s">
        <v>2</v>
      </c>
      <c r="C739">
        <v>738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0.6281732523148148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0.62817335648148143</v>
      </c>
      <c r="B741" t="s">
        <v>1</v>
      </c>
      <c r="C741">
        <v>740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0.62817348379629634</v>
      </c>
      <c r="B742" t="s">
        <v>1</v>
      </c>
      <c r="C742">
        <v>741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0.62817358796296296</v>
      </c>
      <c r="B743" t="s">
        <v>1</v>
      </c>
      <c r="C743">
        <v>742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0.62817371527777777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0.62817381944444439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0.62817393518518516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0.62817405092592593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0.6281741666666667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0.62817428240740736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0.62817439814814813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0.6281745138888889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0.62817462962962967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0.62817474537037032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0.62817486111111109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0.62817497685185186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0.62817509259259263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0.62817520833333329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0.62817532407407406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0.62817543981481483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0.6281755555555556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0.62817567129629626</v>
      </c>
      <c r="B761" t="s">
        <v>1</v>
      </c>
      <c r="C761">
        <v>760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0.62817578703703703</v>
      </c>
      <c r="B762" t="s">
        <v>1</v>
      </c>
      <c r="C762">
        <v>761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0.62817590277777779</v>
      </c>
      <c r="B763" t="s">
        <v>1</v>
      </c>
      <c r="C763">
        <v>762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0.62817601851851856</v>
      </c>
      <c r="B764" t="s">
        <v>1</v>
      </c>
      <c r="C764">
        <v>763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0.62817613425925922</v>
      </c>
      <c r="B765" t="s">
        <v>1</v>
      </c>
      <c r="C765">
        <v>764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0.62817624999999999</v>
      </c>
      <c r="B766" t="s">
        <v>1</v>
      </c>
      <c r="C766">
        <v>765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0.62817636574074076</v>
      </c>
      <c r="B767" t="s">
        <v>1</v>
      </c>
      <c r="C767">
        <v>766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0.62817648148148153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0.62817659722222219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0.62817671296296296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0.62817682870370373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0.6281769444444445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0.62817706018518515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0.62817717592592592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0.62817729166666669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0.62817740740740746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0.62817752314814812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0.62817763888888889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0.62817775462962966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0.62817787037037032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0.62817798611111109</v>
      </c>
      <c r="B781" t="s">
        <v>1</v>
      </c>
      <c r="C781">
        <v>780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0.62817810185185186</v>
      </c>
      <c r="B782" t="s">
        <v>1</v>
      </c>
      <c r="C782">
        <v>781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0.62817821759259262</v>
      </c>
      <c r="B783" t="s">
        <v>1</v>
      </c>
      <c r="C783">
        <v>782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0.62817833333333328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0.62817844907407405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0.62817856481481482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0.62817866898148145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0.62817878472222222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0.62817891203703702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0.62817902777777779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0.62817914351851856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0.62817925925925922</v>
      </c>
      <c r="B792" t="s">
        <v>2</v>
      </c>
      <c r="C792">
        <v>791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0.62817936342592595</v>
      </c>
      <c r="B793" t="s">
        <v>2</v>
      </c>
      <c r="C793">
        <v>792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0.62817947916666672</v>
      </c>
      <c r="B794" t="s">
        <v>2</v>
      </c>
      <c r="C794">
        <v>793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0.62817960648148152</v>
      </c>
      <c r="B795" t="s">
        <v>2</v>
      </c>
      <c r="C795">
        <v>794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0.62817971064814815</v>
      </c>
      <c r="B796" t="s">
        <v>2</v>
      </c>
      <c r="C796">
        <v>795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0.62817982638888892</v>
      </c>
      <c r="B797" t="s">
        <v>2</v>
      </c>
      <c r="C797">
        <v>796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0.62817995370370372</v>
      </c>
      <c r="B798" t="s">
        <v>2</v>
      </c>
      <c r="C798">
        <v>797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0.62818005787037035</v>
      </c>
      <c r="B799" t="s">
        <v>2</v>
      </c>
      <c r="C799">
        <v>798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0.62818017361111111</v>
      </c>
      <c r="B800" t="s">
        <v>1</v>
      </c>
      <c r="C800">
        <v>799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0.62818028935185188</v>
      </c>
      <c r="B801" t="s">
        <v>1</v>
      </c>
      <c r="C801">
        <v>800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0.62818040509259254</v>
      </c>
      <c r="B802" t="s">
        <v>1</v>
      </c>
      <c r="C802">
        <v>801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0.62818052083333331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0.62818063657407408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0.62818075231481485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0.62818086805555551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0.62818098379629628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0.62818109953703705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0.62818121527777782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0.62818134259259262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0.62818156250000001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0.62818167824074078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0.62818179398148144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0.62818190972222221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0.62818202546296298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0.62818214120370375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0.62818225694444441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0.62818237268518518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0.62818248842592594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0.62818260416666671</v>
      </c>
      <c r="B820" t="s">
        <v>1</v>
      </c>
      <c r="C820">
        <v>819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0.62818271990740737</v>
      </c>
      <c r="B821" t="s">
        <v>1</v>
      </c>
      <c r="C821">
        <v>820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0.62818283564814814</v>
      </c>
      <c r="B822" t="s">
        <v>1</v>
      </c>
      <c r="C822">
        <v>821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0.62818295138888891</v>
      </c>
      <c r="B823" t="s">
        <v>1</v>
      </c>
      <c r="C823">
        <v>822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0.62818306712962968</v>
      </c>
      <c r="B824" t="s">
        <v>1</v>
      </c>
      <c r="C824">
        <v>823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0.62818318287037034</v>
      </c>
      <c r="B825" t="s">
        <v>1</v>
      </c>
      <c r="C825">
        <v>824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0.62818329861111111</v>
      </c>
      <c r="B826" t="s">
        <v>1</v>
      </c>
      <c r="C826">
        <v>825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0.62818341435185188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0.62818353009259265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0.6281836458333333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0.62818376157407407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0.62818387731481484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0.6281839930555555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0.62818410879629627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0.62818422453703704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0.62818434027777781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0.62818445601851847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0.62818457175925924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0.62818468750000001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0.62818480324074077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0.62818491898148143</v>
      </c>
      <c r="B840" t="s">
        <v>1</v>
      </c>
      <c r="C840">
        <v>839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0.6281850347222222</v>
      </c>
      <c r="B841" t="s">
        <v>1</v>
      </c>
      <c r="C841">
        <v>840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0.62818515046296297</v>
      </c>
      <c r="B842" t="s">
        <v>1</v>
      </c>
      <c r="C842">
        <v>841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0.62818526620370374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0.6281853819444444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0.62818549768518517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0.62818561342592594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0.62818572916666671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0.62818583333333333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0.62818596064814813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0.6281860763888889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0.62818619212962967</v>
      </c>
      <c r="B851" t="s">
        <v>2</v>
      </c>
      <c r="C851">
        <v>850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0.6281862962962963</v>
      </c>
      <c r="B852" t="s">
        <v>2</v>
      </c>
      <c r="C852">
        <v>851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0.62818641203703707</v>
      </c>
      <c r="B853" t="s">
        <v>2</v>
      </c>
      <c r="C853">
        <v>852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0.62818653935185187</v>
      </c>
      <c r="B854" t="s">
        <v>2</v>
      </c>
      <c r="C854">
        <v>853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0.62818664351851849</v>
      </c>
      <c r="B855" t="s">
        <v>2</v>
      </c>
      <c r="C855">
        <v>854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0.6281867708333333</v>
      </c>
      <c r="B856" t="s">
        <v>2</v>
      </c>
      <c r="C856">
        <v>855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0.62818688657407407</v>
      </c>
      <c r="B857" t="s">
        <v>2</v>
      </c>
      <c r="C857">
        <v>856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0.62818700231481484</v>
      </c>
      <c r="B858" t="s">
        <v>2</v>
      </c>
      <c r="C858">
        <v>857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0.62818710648148146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0.62818723379629626</v>
      </c>
      <c r="B860" t="s">
        <v>1</v>
      </c>
      <c r="C860">
        <v>859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0.62818734953703703</v>
      </c>
      <c r="B861" t="s">
        <v>1</v>
      </c>
      <c r="C861">
        <v>860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0.62818745370370366</v>
      </c>
      <c r="B862" t="s">
        <v>1</v>
      </c>
      <c r="C862">
        <v>861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0.62818758101851857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0.62818769675925923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0.6281878125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0.62818792824074077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0.62818803240740739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0.62818814814814816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0.62818826388888893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0.62818839120370373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0.62818850694444439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0.62818862268518516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0.6281887268518519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0.62818884259259256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0.62818895833333332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0.62818908564814813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0.62818918981481486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0.62818930555555552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0.62818942129629629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0.62818953703703706</v>
      </c>
      <c r="B880" t="s">
        <v>1</v>
      </c>
      <c r="C880">
        <v>879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0.62818965277777783</v>
      </c>
      <c r="B881" t="s">
        <v>1</v>
      </c>
      <c r="C881">
        <v>880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0.62818976851851849</v>
      </c>
      <c r="B882" t="s">
        <v>1</v>
      </c>
      <c r="C882">
        <v>881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0.62818988425925926</v>
      </c>
      <c r="B883" t="s">
        <v>1</v>
      </c>
      <c r="C883">
        <v>882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0.62819000000000003</v>
      </c>
      <c r="B884" t="s">
        <v>1</v>
      </c>
      <c r="C884">
        <v>883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0.6281901157407408</v>
      </c>
      <c r="B885" t="s">
        <v>1</v>
      </c>
      <c r="C885">
        <v>884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0.62819023148148145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0.62819034722222222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0.62819046296296299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0.62819057870370365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0.62819069444444442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0.62819081018518519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0.62819092592592596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0.62819104166666662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0.62819115740740739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0.62819127314814815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0.62819138888888892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0.62819151620370373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0.62819162037037035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0.62819173611111112</v>
      </c>
      <c r="B899" t="s">
        <v>1</v>
      </c>
      <c r="C899">
        <v>898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0.62819185185185189</v>
      </c>
      <c r="B900" t="s">
        <v>1</v>
      </c>
      <c r="C900">
        <v>899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0.62819196759259255</v>
      </c>
      <c r="B901" t="s">
        <v>1</v>
      </c>
      <c r="C901">
        <v>900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0.62819208333333332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0.62819219907407409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0.62819231481481486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0.62819243055555551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0.62819254629629628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0.62819266203703705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0.62819277777777782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0.62819289351851848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0.62819312500000002</v>
      </c>
      <c r="B910" t="s">
        <v>2</v>
      </c>
      <c r="C910">
        <v>909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0.62819324074074079</v>
      </c>
      <c r="B911" t="s">
        <v>2</v>
      </c>
      <c r="C911">
        <v>910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0.62819335648148145</v>
      </c>
      <c r="B912" t="s">
        <v>2</v>
      </c>
      <c r="C912">
        <v>911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0.62819347222222222</v>
      </c>
      <c r="B913" t="s">
        <v>2</v>
      </c>
      <c r="C913">
        <v>912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0.62819357638888884</v>
      </c>
      <c r="B914" t="s">
        <v>2</v>
      </c>
      <c r="C914">
        <v>913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0.62819369212962961</v>
      </c>
      <c r="B915" t="s">
        <v>2</v>
      </c>
      <c r="C915">
        <v>914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0.62819380787037038</v>
      </c>
      <c r="B916" t="s">
        <v>2</v>
      </c>
      <c r="C916">
        <v>915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0.62819392361111115</v>
      </c>
      <c r="B917" t="s">
        <v>2</v>
      </c>
      <c r="C917">
        <v>916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0.62819403935185181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0.62819415509259258</v>
      </c>
      <c r="B919" t="s">
        <v>1</v>
      </c>
      <c r="C919">
        <v>918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0.62819427083333335</v>
      </c>
      <c r="B920" t="s">
        <v>1</v>
      </c>
      <c r="C920">
        <v>919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0.62819438657407412</v>
      </c>
      <c r="B921" t="s">
        <v>1</v>
      </c>
      <c r="C921">
        <v>920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0.62819450231481477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0.62819461805555554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0.62819473379629631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0.62819484953703708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0.62819496527777774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0.62819509259259254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0.62819519675925928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0.62819531250000005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0.62819542824074071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0.62819554398148147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0.62819565972222224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0.62819577546296301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0.62819589120370367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0.62819600694444444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0.62819612268518521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0.62819623842592598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0.62819635416666664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0.62819646990740741</v>
      </c>
      <c r="B939" t="s">
        <v>1</v>
      </c>
      <c r="C939">
        <v>938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0.62819658564814818</v>
      </c>
      <c r="B940" t="s">
        <v>1</v>
      </c>
      <c r="C940">
        <v>939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0.62819670138888883</v>
      </c>
      <c r="B941" t="s">
        <v>1</v>
      </c>
      <c r="C941">
        <v>940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0.6281968171296296</v>
      </c>
      <c r="B942" t="s">
        <v>1</v>
      </c>
      <c r="C942">
        <v>941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0.62819693287037037</v>
      </c>
      <c r="B943" t="s">
        <v>1</v>
      </c>
      <c r="C943">
        <v>942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0.62819704861111114</v>
      </c>
      <c r="B944" t="s">
        <v>1</v>
      </c>
      <c r="C944">
        <v>943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0.6281971643518518</v>
      </c>
      <c r="B945" t="s">
        <v>1</v>
      </c>
      <c r="C945">
        <v>944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0.62819728009259257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0.62819739583333334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0.62819751157407411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0.62819762731481477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0.62819774305555554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0.6281978587962963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0.62819797453703707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0.62819809027777773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0.6281982060185185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0.62819832175925927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0.62819843750000004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0.6281985532407407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0.62819866898148147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0.62819878472222224</v>
      </c>
      <c r="B959" t="s">
        <v>1</v>
      </c>
      <c r="C959">
        <v>958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0.62819890046296301</v>
      </c>
      <c r="B960" t="s">
        <v>1</v>
      </c>
      <c r="C960">
        <v>959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0.62819901620370366</v>
      </c>
      <c r="B961" t="s">
        <v>1</v>
      </c>
      <c r="C961">
        <v>960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0.62819913194444443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0.6281992476851852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0.62819936342592597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0.62819947916666663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0.6281995949074074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0.62819971064814817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0.62819982638888894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0.6281999421296296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0.62820005787037037</v>
      </c>
      <c r="B970" t="s">
        <v>2</v>
      </c>
      <c r="C970">
        <v>969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0.62820017361111113</v>
      </c>
      <c r="B971" t="s">
        <v>2</v>
      </c>
      <c r="C971">
        <v>970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0.6282002893518519</v>
      </c>
      <c r="B972" t="s">
        <v>2</v>
      </c>
      <c r="C972">
        <v>971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0.62820039351851853</v>
      </c>
      <c r="B973" t="s">
        <v>2</v>
      </c>
      <c r="C973">
        <v>972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0.62820052083333333</v>
      </c>
      <c r="B974" t="s">
        <v>2</v>
      </c>
      <c r="C974">
        <v>973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0.6282006365740741</v>
      </c>
      <c r="B975" t="s">
        <v>2</v>
      </c>
      <c r="C975">
        <v>974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0.62820075231481487</v>
      </c>
      <c r="B976" t="s">
        <v>2</v>
      </c>
      <c r="C976">
        <v>975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0.62820086805555553</v>
      </c>
      <c r="B977" t="s">
        <v>2</v>
      </c>
      <c r="C977">
        <v>976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0.62820097222222226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0.62820108796296292</v>
      </c>
      <c r="B979" t="s">
        <v>1</v>
      </c>
      <c r="C979">
        <v>978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0.62820120370370369</v>
      </c>
      <c r="B980" t="s">
        <v>1</v>
      </c>
      <c r="C980">
        <v>979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0.62820131944444446</v>
      </c>
      <c r="B981" t="s">
        <v>1</v>
      </c>
      <c r="C981">
        <v>980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0.62820144675925926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0.62820156250000003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0.62820166666666666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0.62820178240740743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0.62820190972222223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0.62820201388888885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0.62820212962962962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0.62820224537037039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0.62820236111111116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0.62820247685185182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0.62820259259259259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0.62820270833333336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0.62820282407407413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51663-81DF-41A2-AE12-A550CD67B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Phân tích IN_1 &amp; IN_2 (2)</vt:lpstr>
      <vt:lpstr>IN_2 Analysis (3)</vt:lpstr>
      <vt:lpstr>IN_2 Analysis (2)</vt:lpstr>
      <vt:lpstr>1000</vt:lpstr>
      <vt:lpstr>Phân tích IN_1 &amp; IN_2</vt:lpstr>
      <vt:lpstr>mau do toc 300</vt:lpstr>
      <vt:lpstr>mau do toc 200</vt:lpstr>
      <vt:lpstr>mau do toc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Binh</dc:creator>
  <cp:lastModifiedBy>Nguyen Duc Binh</cp:lastModifiedBy>
  <dcterms:created xsi:type="dcterms:W3CDTF">2026-04-08T06:54:41Z</dcterms:created>
  <dcterms:modified xsi:type="dcterms:W3CDTF">2026-04-11T07:41:22Z</dcterms:modified>
</cp:coreProperties>
</file>